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defaultThemeVersion="166925"/>
  <xr:revisionPtr revIDLastSave="0" documentId="8_{78F775E8-70AC-4124-8FA5-B0A4B75AE4F9}" xr6:coauthVersionLast="47" xr6:coauthVersionMax="47" xr10:uidLastSave="{00000000-0000-0000-0000-000000000000}"/>
  <bookViews>
    <workbookView xWindow="240" yWindow="105" windowWidth="14805" windowHeight="8010" xr2:uid="{00000000-000D-0000-FFFF-FFFF00000000}"/>
  </bookViews>
  <sheets>
    <sheet name="Executive Summary" sheetId="1" r:id="rId1"/>
    <sheet name="Portfolio Overview" sheetId="2" r:id="rId2"/>
    <sheet name="Frequency Analysis" sheetId="3" r:id="rId3"/>
    <sheet name="Severity Analysis" sheetId="4" r:id="rId4"/>
    <sheet name="Risk Segmentation" sheetId="5" r:id="rId5"/>
    <sheet name="Pricing Model" sheetId="6" r:id="rId6"/>
    <sheet name="Sensitivity Analysis" sheetId="7" r:id="rId7"/>
    <sheet name="Model Validation" sheetId="8" r:id="rId8"/>
    <sheet name="Data Dictionary"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6" i="8" l="1"/>
  <c r="Y36" i="8" s="1"/>
  <c r="X37" i="8"/>
  <c r="Y37" i="8" s="1"/>
  <c r="X38" i="8"/>
  <c r="Y38" i="8" s="1"/>
  <c r="X39" i="8"/>
  <c r="Y39" i="8" s="1"/>
  <c r="X40" i="8"/>
  <c r="Y40" i="8" s="1"/>
  <c r="X41" i="8"/>
  <c r="Y41" i="8" s="1"/>
  <c r="X42" i="8"/>
  <c r="Y42" i="8" s="1"/>
  <c r="X43" i="8"/>
  <c r="Y43" i="8" s="1"/>
  <c r="X44" i="8"/>
  <c r="Y44" i="8" s="1"/>
  <c r="X45" i="8"/>
  <c r="Y45" i="8" s="1"/>
  <c r="X46" i="8"/>
  <c r="Y46" i="8" s="1"/>
  <c r="X47" i="8"/>
  <c r="Y47" i="8" s="1"/>
  <c r="X48" i="8"/>
  <c r="Y48" i="8" s="1"/>
  <c r="X49" i="8"/>
  <c r="Y49" i="8" s="1"/>
  <c r="X50" i="8"/>
  <c r="Y50" i="8" s="1"/>
  <c r="X51" i="8"/>
  <c r="Y51" i="8" s="1"/>
  <c r="X52" i="8"/>
  <c r="Y52" i="8" s="1"/>
  <c r="X53" i="8"/>
  <c r="Y53" i="8" s="1"/>
  <c r="X54" i="8"/>
  <c r="Y54" i="8" s="1"/>
  <c r="X55" i="8"/>
  <c r="Y55" i="8" s="1"/>
  <c r="X56" i="8"/>
  <c r="Y56" i="8" s="1"/>
  <c r="X33" i="8"/>
  <c r="Y33" i="8" s="1"/>
  <c r="X32" i="8"/>
  <c r="Y32" i="8" s="1"/>
  <c r="X31" i="8"/>
  <c r="Y31" i="8" s="1"/>
  <c r="X30" i="8"/>
  <c r="Y30" i="8" s="1"/>
  <c r="X29" i="8"/>
  <c r="Y29" i="8" s="1"/>
  <c r="X28" i="8"/>
  <c r="Y28" i="8" s="1"/>
  <c r="X21" i="8"/>
  <c r="Y21" i="8" s="1"/>
  <c r="X22" i="8"/>
  <c r="Y22" i="8" s="1"/>
  <c r="X23" i="8"/>
  <c r="X24" i="8"/>
  <c r="X25" i="8"/>
  <c r="Y25" i="8" s="1"/>
  <c r="X18" i="8"/>
  <c r="Y18" i="8" s="1"/>
  <c r="X17" i="8"/>
  <c r="Y17" i="8" s="1"/>
  <c r="X16" i="8"/>
  <c r="Y16" i="8" s="1"/>
  <c r="X15" i="8"/>
  <c r="Y15" i="8" s="1"/>
  <c r="X14" i="8"/>
  <c r="Y14" i="8" s="1"/>
  <c r="X13" i="8"/>
  <c r="Y13" i="8" s="1"/>
  <c r="X5" i="8"/>
  <c r="Y5" i="8" s="1"/>
  <c r="X6" i="8"/>
  <c r="Y6" i="8" s="1"/>
  <c r="X7" i="8"/>
  <c r="Y7" i="8" s="1"/>
  <c r="X8" i="8"/>
  <c r="Y8" i="8" s="1"/>
  <c r="X9" i="8"/>
  <c r="Y9" i="8" s="1"/>
  <c r="X10" i="8"/>
  <c r="Y10" i="8" s="1"/>
  <c r="X4" i="8"/>
  <c r="Y4" i="8" s="1"/>
  <c r="G32" i="8"/>
  <c r="G33" i="8"/>
  <c r="G34" i="8"/>
  <c r="G35" i="8"/>
  <c r="G36" i="8"/>
  <c r="E57" i="8"/>
  <c r="E56" i="8"/>
  <c r="E43" i="8"/>
  <c r="E41" i="8"/>
  <c r="E54" i="8"/>
  <c r="F57" i="8"/>
  <c r="F56" i="8"/>
  <c r="F43" i="8"/>
  <c r="F41" i="8"/>
  <c r="F54" i="8"/>
  <c r="G57" i="8"/>
  <c r="G56" i="8"/>
  <c r="G43" i="8"/>
  <c r="G41" i="8"/>
  <c r="G54" i="8"/>
  <c r="G45" i="8"/>
  <c r="G47" i="8"/>
  <c r="G48" i="8"/>
  <c r="G55" i="8"/>
  <c r="G59" i="8"/>
  <c r="G50" i="8"/>
  <c r="G40" i="8"/>
  <c r="G53" i="8"/>
  <c r="G42" i="8"/>
  <c r="G58" i="8"/>
  <c r="G49" i="8"/>
  <c r="G39" i="8"/>
  <c r="G51" i="8"/>
  <c r="G44" i="8"/>
  <c r="G46" i="8"/>
  <c r="E59" i="8"/>
  <c r="E50" i="8"/>
  <c r="E40" i="8"/>
  <c r="E53" i="8"/>
  <c r="E42" i="8"/>
  <c r="E58" i="8"/>
  <c r="E49" i="8"/>
  <c r="E39" i="8"/>
  <c r="E51" i="8"/>
  <c r="E44" i="8"/>
  <c r="E46" i="8"/>
  <c r="F59" i="8"/>
  <c r="F50" i="8"/>
  <c r="F40" i="8"/>
  <c r="F53" i="8"/>
  <c r="F42" i="8"/>
  <c r="F58" i="8"/>
  <c r="F49" i="8"/>
  <c r="F39" i="8"/>
  <c r="F51" i="8"/>
  <c r="F44" i="8"/>
  <c r="F46" i="8"/>
  <c r="E36" i="8"/>
  <c r="F36" i="8"/>
  <c r="F55" i="8"/>
  <c r="E55" i="8"/>
  <c r="F48" i="8"/>
  <c r="E48" i="8"/>
  <c r="F47" i="8"/>
  <c r="E47" i="8"/>
  <c r="F45" i="8"/>
  <c r="E45" i="8"/>
  <c r="G52" i="8"/>
  <c r="F52" i="8"/>
  <c r="E52" i="8"/>
  <c r="F35" i="8"/>
  <c r="E35" i="8"/>
  <c r="F34" i="8"/>
  <c r="E34" i="8"/>
  <c r="F33" i="8"/>
  <c r="E33" i="8"/>
  <c r="F32" i="8"/>
  <c r="E32" i="8"/>
  <c r="G31" i="8"/>
  <c r="F31" i="8"/>
  <c r="E31" i="8"/>
  <c r="G24" i="8"/>
  <c r="G25" i="8"/>
  <c r="G28" i="8"/>
  <c r="F24" i="8"/>
  <c r="F25" i="8"/>
  <c r="F26" i="8"/>
  <c r="F27" i="8"/>
  <c r="F28" i="8"/>
  <c r="E24" i="8"/>
  <c r="E25" i="8"/>
  <c r="E26" i="8"/>
  <c r="E27" i="8"/>
  <c r="E28" i="8"/>
  <c r="G16" i="8"/>
  <c r="G17" i="8"/>
  <c r="G18" i="8"/>
  <c r="G19" i="8"/>
  <c r="G20" i="8"/>
  <c r="G21" i="8"/>
  <c r="F16" i="8"/>
  <c r="F17" i="8"/>
  <c r="F18" i="8"/>
  <c r="F19" i="8"/>
  <c r="F20" i="8"/>
  <c r="F21" i="8"/>
  <c r="E16" i="8"/>
  <c r="E17" i="8"/>
  <c r="E18" i="8"/>
  <c r="E19" i="8"/>
  <c r="E20" i="8"/>
  <c r="E21" i="8"/>
  <c r="G7" i="8"/>
  <c r="G8" i="8"/>
  <c r="G9" i="8"/>
  <c r="G10" i="8"/>
  <c r="G11" i="8"/>
  <c r="G12" i="8"/>
  <c r="G13" i="8"/>
  <c r="F7" i="8"/>
  <c r="F8" i="8"/>
  <c r="F9" i="8"/>
  <c r="F10" i="8"/>
  <c r="F11" i="8"/>
  <c r="F12" i="8"/>
  <c r="F13" i="8"/>
  <c r="E7" i="8"/>
  <c r="E8" i="8"/>
  <c r="E9" i="8"/>
  <c r="E10" i="8"/>
  <c r="E11" i="8"/>
  <c r="E12" i="8"/>
  <c r="E13" i="8"/>
  <c r="K4" i="7" a="1"/>
  <c r="K4" i="7"/>
  <c r="K5" i="7" a="1"/>
  <c r="K5" i="7"/>
  <c r="K6" i="7" a="1"/>
  <c r="K6" i="7"/>
  <c r="K7" i="7" a="1"/>
  <c r="K7" i="7"/>
  <c r="K3" i="7" a="1"/>
  <c r="K3" i="7"/>
  <c r="J3" i="7" a="1"/>
  <c r="J3" i="7"/>
  <c r="J4" i="7" a="1"/>
  <c r="J4" i="7"/>
  <c r="J5" i="7" a="1"/>
  <c r="J5" i="7"/>
  <c r="J6" i="7" a="1"/>
  <c r="J6" i="7"/>
  <c r="J7" i="7" a="1"/>
  <c r="J7" i="7"/>
  <c r="I3" i="7" a="1"/>
  <c r="I3" i="7"/>
  <c r="I4" i="7" a="1"/>
  <c r="I4" i="7"/>
  <c r="I5" i="7" a="1"/>
  <c r="I5" i="7"/>
  <c r="I6" i="7" a="1"/>
  <c r="I6" i="7"/>
  <c r="I7" i="7" a="1"/>
  <c r="I7" i="7"/>
  <c r="H3" i="7" a="1"/>
  <c r="H3" i="7"/>
  <c r="H4" i="7" a="1"/>
  <c r="H4" i="7"/>
  <c r="H5" i="7" a="1"/>
  <c r="H5" i="7"/>
  <c r="H6" i="7" a="1"/>
  <c r="H6" i="7"/>
  <c r="H7" i="7" a="1"/>
  <c r="H7" i="7"/>
  <c r="G4" i="7" a="1"/>
  <c r="G4" i="7"/>
  <c r="G5" i="7" a="1"/>
  <c r="G5" i="7"/>
  <c r="G6" i="7" a="1"/>
  <c r="G6" i="7"/>
  <c r="G7" i="7" a="1"/>
  <c r="G7" i="7"/>
  <c r="G3" i="7" a="1"/>
  <c r="G3" i="7"/>
  <c r="B5" i="7" a="1"/>
  <c r="B5" i="7"/>
  <c r="A5" i="7" a="1"/>
  <c r="A5" i="7"/>
  <c r="C5" i="7" s="1"/>
  <c r="Y2" i="6"/>
  <c r="Y3" i="6"/>
  <c r="Y4" i="6"/>
  <c r="Y5" i="6"/>
  <c r="Y6" i="6"/>
  <c r="Y7" i="6"/>
  <c r="Y8" i="6"/>
  <c r="Y9" i="6"/>
  <c r="Y10" i="6"/>
  <c r="Y11" i="6"/>
  <c r="Y12" i="6"/>
  <c r="Y13" i="6"/>
  <c r="Y14" i="6"/>
  <c r="Y15" i="6"/>
  <c r="Y16" i="6"/>
  <c r="Y17" i="6"/>
  <c r="Y18" i="6"/>
  <c r="Y19" i="6"/>
  <c r="Y20" i="6"/>
  <c r="Y21" i="6"/>
  <c r="Y22" i="6"/>
  <c r="V2" i="6"/>
  <c r="V3" i="6"/>
  <c r="V4" i="6"/>
  <c r="V5" i="6"/>
  <c r="V6" i="6"/>
  <c r="V7" i="6"/>
  <c r="S2" i="6"/>
  <c r="S3" i="6"/>
  <c r="S4" i="6"/>
  <c r="S5" i="6"/>
  <c r="P2" i="6"/>
  <c r="P3" i="6"/>
  <c r="P4" i="6"/>
  <c r="P5" i="6"/>
  <c r="P6" i="6"/>
  <c r="P7" i="6"/>
  <c r="M2" i="6"/>
  <c r="M3" i="6"/>
  <c r="M4" i="6"/>
  <c r="M5" i="6"/>
  <c r="M6" i="6"/>
  <c r="M7" i="6"/>
  <c r="J2" i="6"/>
  <c r="J3" i="6"/>
  <c r="J4" i="6"/>
  <c r="J5" i="6"/>
  <c r="J6" i="6"/>
  <c r="G2" i="6"/>
  <c r="G3" i="6"/>
  <c r="G4" i="6"/>
  <c r="G5" i="6"/>
  <c r="G6" i="6"/>
  <c r="G7" i="6"/>
  <c r="G8" i="6"/>
  <c r="BC3" i="5"/>
  <c r="BC4" i="5"/>
  <c r="BC5" i="5"/>
  <c r="BC6" i="5"/>
  <c r="BC7" i="5"/>
  <c r="BC8" i="5"/>
  <c r="BC9" i="5"/>
  <c r="BC10" i="5"/>
  <c r="BC11" i="5"/>
  <c r="BC12" i="5"/>
  <c r="BC13" i="5"/>
  <c r="BC14" i="5"/>
  <c r="BC15" i="5"/>
  <c r="BC16" i="5"/>
  <c r="BC17" i="5"/>
  <c r="BC18" i="5"/>
  <c r="BC19" i="5"/>
  <c r="BC20" i="5"/>
  <c r="BC21" i="5"/>
  <c r="BC22" i="5"/>
  <c r="BC23" i="5"/>
  <c r="BA3" i="5"/>
  <c r="BA4" i="5"/>
  <c r="BA5" i="5"/>
  <c r="BA6" i="5"/>
  <c r="BA7" i="5"/>
  <c r="BA8" i="5"/>
  <c r="BA9" i="5"/>
  <c r="BA10" i="5"/>
  <c r="BA11" i="5"/>
  <c r="BA12" i="5"/>
  <c r="BA13" i="5"/>
  <c r="BA14" i="5"/>
  <c r="BA15" i="5"/>
  <c r="BA16" i="5"/>
  <c r="BA17" i="5"/>
  <c r="BA18" i="5"/>
  <c r="BA19" i="5"/>
  <c r="BA20" i="5"/>
  <c r="BA21" i="5"/>
  <c r="BA22" i="5"/>
  <c r="BA23" i="5"/>
  <c r="AS3" i="5"/>
  <c r="AS4" i="5"/>
  <c r="AS5" i="5"/>
  <c r="AS6" i="5"/>
  <c r="AS7" i="5"/>
  <c r="AS8" i="5"/>
  <c r="AU8" i="5"/>
  <c r="AU7" i="5"/>
  <c r="AU6" i="5"/>
  <c r="AU5" i="5"/>
  <c r="AU4" i="5"/>
  <c r="AU3" i="5"/>
  <c r="AM3" i="5"/>
  <c r="AM4" i="5"/>
  <c r="AM5" i="5"/>
  <c r="AM6" i="5"/>
  <c r="AK3" i="5"/>
  <c r="AK4" i="5"/>
  <c r="AK5" i="5"/>
  <c r="AK6" i="5"/>
  <c r="AE8" i="5"/>
  <c r="AC8" i="5"/>
  <c r="AE7" i="5"/>
  <c r="AC7" i="5"/>
  <c r="AE6" i="5"/>
  <c r="AC6" i="5"/>
  <c r="AE5" i="5"/>
  <c r="AC5" i="5"/>
  <c r="AE4" i="5"/>
  <c r="AC4" i="5"/>
  <c r="AE3" i="5"/>
  <c r="AC3" i="5"/>
  <c r="W3" i="5"/>
  <c r="W4" i="5"/>
  <c r="W5" i="5"/>
  <c r="W6" i="5"/>
  <c r="W7" i="5"/>
  <c r="W8" i="5"/>
  <c r="U3" i="5"/>
  <c r="U4" i="5"/>
  <c r="U5" i="5"/>
  <c r="U6" i="5"/>
  <c r="U7" i="5"/>
  <c r="U8" i="5"/>
  <c r="O3" i="5"/>
  <c r="O4" i="5"/>
  <c r="O5" i="5"/>
  <c r="O6" i="5"/>
  <c r="O7" i="5"/>
  <c r="M3" i="5"/>
  <c r="M4" i="5"/>
  <c r="M5" i="5"/>
  <c r="M6" i="5"/>
  <c r="M7" i="5"/>
  <c r="E9" i="5"/>
  <c r="E8" i="5"/>
  <c r="E7" i="5"/>
  <c r="E6" i="5"/>
  <c r="E5" i="5"/>
  <c r="E4" i="5"/>
  <c r="E3" i="5"/>
  <c r="K2" i="3"/>
  <c r="K3" i="3"/>
  <c r="K4" i="3"/>
  <c r="K5" i="3"/>
  <c r="K6" i="3"/>
  <c r="K7" i="3"/>
  <c r="E3" i="3"/>
  <c r="E4" i="3"/>
  <c r="E5" i="3"/>
  <c r="E6" i="3"/>
  <c r="E7" i="3"/>
  <c r="E8" i="3"/>
  <c r="E2" i="3"/>
  <c r="B5" i="2"/>
  <c r="A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<sst xmlns="http://schemas.openxmlformats.org/spreadsheetml/2006/main" count="537" uniqueCount="208">
  <si>
    <t>Auto Insurance Actuarial Analysis</t>
  </si>
  <si>
    <t>Important Limitations</t>
  </si>
  <si>
    <t>Overview</t>
  </si>
  <si>
    <r>
      <rPr>
        <b/>
        <sz val="11"/>
        <color rgb="FF000000"/>
        <rFont val="Calibri"/>
        <scheme val="minor"/>
      </rPr>
      <t>Important:</t>
    </r>
    <r>
      <rPr>
        <sz val="11"/>
        <color rgb="FF000000"/>
        <rFont val="Calibri"/>
        <scheme val="minor"/>
      </rPr>
      <t xml:space="preserve"> This portfolio analysis uses freMTPL2 French motor third-party liability dataset. These results are historical and meant for practical use in current U.S. auto insurance pricing. Modeled loss costs are not final and do not take into account: expenses, taxes/fees, profit/risk margin, trend, development, etc. Please look at the data while taking this into consideration. Thank you. </t>
    </r>
  </si>
  <si>
    <t>Policies</t>
  </si>
  <si>
    <t>Total Exposure</t>
  </si>
  <si>
    <t>Claims</t>
  </si>
  <si>
    <t>Frequency</t>
  </si>
  <si>
    <t>Average Severity</t>
  </si>
  <si>
    <t>Predicted Loss Cost</t>
  </si>
  <si>
    <t>Key Risk Indicators</t>
  </si>
  <si>
    <t>Driver Age</t>
  </si>
  <si>
    <t>18-100</t>
  </si>
  <si>
    <t>Bonus-Malus</t>
  </si>
  <si>
    <t>50 - 230</t>
  </si>
  <si>
    <t>Area</t>
  </si>
  <si>
    <t>6 areas</t>
  </si>
  <si>
    <t>Vehicle Age</t>
  </si>
  <si>
    <t>0 - 100</t>
  </si>
  <si>
    <t>Region</t>
  </si>
  <si>
    <t>21 Regions</t>
  </si>
  <si>
    <t>Density</t>
  </si>
  <si>
    <t>1 - 27,000</t>
  </si>
  <si>
    <t>Model Results</t>
  </si>
  <si>
    <t>Frequency Model Example</t>
  </si>
  <si>
    <t>Claim Severity Model</t>
  </si>
  <si>
    <t>Model Validation Example</t>
  </si>
  <si>
    <t>Key Findings</t>
  </si>
  <si>
    <r>
      <rPr>
        <b/>
        <sz val="11"/>
        <color rgb="FF000000"/>
        <rFont val="Calibri"/>
        <scheme val="minor"/>
      </rPr>
      <t>Driver Age:</t>
    </r>
    <r>
      <rPr>
        <sz val="11"/>
        <color rgb="FF000000"/>
        <rFont val="Calibri"/>
        <scheme val="minor"/>
      </rPr>
      <t xml:space="preserve"> When looking at the 18-24 age group, they have the highest observed claim frequency among the age bands at a 0.189 frequency compared to the 0.101 frequency for the overall portfolio. </t>
    </r>
  </si>
  <si>
    <r>
      <rPr>
        <b/>
        <sz val="11"/>
        <color rgb="FF000000"/>
        <rFont val="Calibri"/>
        <scheme val="minor"/>
      </rPr>
      <t>Bonus-Malus:</t>
    </r>
    <r>
      <rPr>
        <sz val="11"/>
        <color rgb="FF000000"/>
        <rFont val="Calibri"/>
        <scheme val="minor"/>
      </rPr>
      <t xml:space="preserve"> Observed frequency increased with each subsequent band, but the highest bands had very little exposure so it has to be interpreted with caution. </t>
    </r>
  </si>
  <si>
    <r>
      <rPr>
        <b/>
        <sz val="11"/>
        <color rgb="FF000000"/>
        <rFont val="Calibri"/>
        <scheme val="minor"/>
      </rPr>
      <t>Severity:</t>
    </r>
    <r>
      <rPr>
        <sz val="11"/>
        <color rgb="FF000000"/>
        <rFont val="Calibri"/>
        <scheme val="minor"/>
      </rPr>
      <t xml:space="preserve"> Looking at the claim severity, it is easily seen the it was right-skewed, with a median of $1,172, a mean of $2,279 and a maximum of over $4 million. </t>
    </r>
  </si>
  <si>
    <r>
      <rPr>
        <b/>
        <sz val="11"/>
        <color rgb="FF000000"/>
        <rFont val="Calibri"/>
        <scheme val="minor"/>
      </rPr>
      <t>Tail Risk:</t>
    </r>
    <r>
      <rPr>
        <sz val="11"/>
        <color rgb="FF000000"/>
        <rFont val="Calibri"/>
        <scheme val="minor"/>
      </rPr>
      <t xml:space="preserve"> Since there is a huge difference between the 99th and 99.9th percentile, in terms of severity, we have to take it into account when creating these insurance model losses. </t>
    </r>
  </si>
  <si>
    <r>
      <rPr>
        <b/>
        <sz val="11"/>
        <color rgb="FF000000"/>
        <rFont val="Calibri"/>
        <scheme val="minor"/>
      </rPr>
      <t xml:space="preserve">Sources: </t>
    </r>
    <r>
      <rPr>
        <sz val="11"/>
        <color rgb="FF000000"/>
        <rFont val="Calibri"/>
        <scheme val="minor"/>
      </rPr>
      <t xml:space="preserve">Frequency and severity sources don't completely reconcile at the policy level. Frequency analysis used the frequency dataset, while severity analysis used the severity dataset. Loss cost used where both were available. </t>
    </r>
  </si>
  <si>
    <t>Metric</t>
  </si>
  <si>
    <t>Value</t>
  </si>
  <si>
    <t>Severity Statistics</t>
  </si>
  <si>
    <t>Number of Policies</t>
  </si>
  <si>
    <t>Amount</t>
  </si>
  <si>
    <t>Mean</t>
  </si>
  <si>
    <t>Total Claims</t>
  </si>
  <si>
    <t>Median</t>
  </si>
  <si>
    <t>Observed Frequency</t>
  </si>
  <si>
    <t>75th Percentile</t>
  </si>
  <si>
    <t>Number of Severity Records</t>
  </si>
  <si>
    <t>90th Percentile</t>
  </si>
  <si>
    <t>Total Claim Anount</t>
  </si>
  <si>
    <t>95th Percentile</t>
  </si>
  <si>
    <t>Mean Claim Severity</t>
  </si>
  <si>
    <t>99th Percentile</t>
  </si>
  <si>
    <t>Median Claim Severity</t>
  </si>
  <si>
    <t>99.9th Percentile</t>
  </si>
  <si>
    <t>Maximum Claim</t>
  </si>
  <si>
    <t>Maximum</t>
  </si>
  <si>
    <t>Exposure</t>
  </si>
  <si>
    <t>18-24</t>
  </si>
  <si>
    <t>&lt;80</t>
  </si>
  <si>
    <t>25-34</t>
  </si>
  <si>
    <t>80-99</t>
  </si>
  <si>
    <t>35-44</t>
  </si>
  <si>
    <t>100-119</t>
  </si>
  <si>
    <t>45-54</t>
  </si>
  <si>
    <t>120-139</t>
  </si>
  <si>
    <t>55-64</t>
  </si>
  <si>
    <t>140-159</t>
  </si>
  <si>
    <t>65-74</t>
  </si>
  <si>
    <t>160+</t>
  </si>
  <si>
    <t>75+</t>
  </si>
  <si>
    <t>Severity Analysis</t>
  </si>
  <si>
    <t>Driver Age Analysis</t>
  </si>
  <si>
    <t>Vehicle Age Analysis</t>
  </si>
  <si>
    <t>Bonus-Malus Analysis</t>
  </si>
  <si>
    <t>Area Analysis</t>
  </si>
  <si>
    <t>Vehicle Power Analysis</t>
  </si>
  <si>
    <t>Density Analysis</t>
  </si>
  <si>
    <t>Region Analysis</t>
  </si>
  <si>
    <t>Claim Amount</t>
  </si>
  <si>
    <t>Loss Cost</t>
  </si>
  <si>
    <t>Vehicle Power</t>
  </si>
  <si>
    <t>0 - 19</t>
  </si>
  <si>
    <t>A</t>
  </si>
  <si>
    <t>4 - 6</t>
  </si>
  <si>
    <t>1 - 4,999</t>
  </si>
  <si>
    <t>Limousin</t>
  </si>
  <si>
    <t>20 - 39</t>
  </si>
  <si>
    <t>80 - 99</t>
  </si>
  <si>
    <t>B</t>
  </si>
  <si>
    <t>7 - 9</t>
  </si>
  <si>
    <t>5,000 - 9,999</t>
  </si>
  <si>
    <t>Centre</t>
  </si>
  <si>
    <t>40 - 59</t>
  </si>
  <si>
    <t>100 - 119</t>
  </si>
  <si>
    <t>C</t>
  </si>
  <si>
    <t>10 - 12</t>
  </si>
  <si>
    <t>10,000 - 14,999</t>
  </si>
  <si>
    <t>Corse</t>
  </si>
  <si>
    <t>60 - 79</t>
  </si>
  <si>
    <t>120 - 139</t>
  </si>
  <si>
    <t>D</t>
  </si>
  <si>
    <t>13 - 15</t>
  </si>
  <si>
    <t>15,000 - 19,999</t>
  </si>
  <si>
    <t>Franche-Comte</t>
  </si>
  <si>
    <t>80+</t>
  </si>
  <si>
    <t>140 - 159</t>
  </si>
  <si>
    <t>E</t>
  </si>
  <si>
    <t>20,000 - 24,999</t>
  </si>
  <si>
    <t>Pays-de-la-Loire</t>
  </si>
  <si>
    <t>F</t>
  </si>
  <si>
    <t>25,000+</t>
  </si>
  <si>
    <t>Rhone-Alpes</t>
  </si>
  <si>
    <t>Ile-de-France</t>
  </si>
  <si>
    <t>Aquitaine</t>
  </si>
  <si>
    <t>Midi-Pyrenees</t>
  </si>
  <si>
    <t>Basse-Normandie</t>
  </si>
  <si>
    <t>Provence-Alpes-Cotes-D'Azur</t>
  </si>
  <si>
    <t>Haute-Normandie</t>
  </si>
  <si>
    <t>Alsace</t>
  </si>
  <si>
    <t>Languedoc-Roussillon</t>
  </si>
  <si>
    <t>Bretagne</t>
  </si>
  <si>
    <t>Champagne-Ardenne</t>
  </si>
  <si>
    <t>Poitou-Charentes</t>
  </si>
  <si>
    <t>Picardie</t>
  </si>
  <si>
    <t>Bourgogne</t>
  </si>
  <si>
    <t>Auvergne</t>
  </si>
  <si>
    <t>Nord-Pas-de-Calais</t>
  </si>
  <si>
    <t>Driver Age Band</t>
  </si>
  <si>
    <t xml:space="preserve">Predicted Loss Cost </t>
  </si>
  <si>
    <t>Relative Loss Cost</t>
  </si>
  <si>
    <t>Vehicle Age Band</t>
  </si>
  <si>
    <t>Predicted Loss Cost 2</t>
  </si>
  <si>
    <t>Relative Loss Cost 2</t>
  </si>
  <si>
    <t>Bonus Malus</t>
  </si>
  <si>
    <t>Predicted Loss Cost 3</t>
  </si>
  <si>
    <t>Relative Loss Cost 3</t>
  </si>
  <si>
    <t>Predicted Loss Cost 4</t>
  </si>
  <si>
    <t>Relative Loss Cost 4</t>
  </si>
  <si>
    <t>Predicted Loss Cost 5</t>
  </si>
  <si>
    <t>Relative Loss Cost 5</t>
  </si>
  <si>
    <t>Predicted Loss Cost 6</t>
  </si>
  <si>
    <t>Relative Loss Cost 6</t>
  </si>
  <si>
    <t>Predicted Loss Cost 7</t>
  </si>
  <si>
    <t>Relative Loss Cost 7</t>
  </si>
  <si>
    <t>Average Predicted Frequency</t>
  </si>
  <si>
    <t>Average Predicted Severity</t>
  </si>
  <si>
    <t>Average Predicted Loss Cost</t>
  </si>
  <si>
    <t>Minimum Predicted Loss Cost</t>
  </si>
  <si>
    <t>Median Predicted Loss Cost</t>
  </si>
  <si>
    <t>Maximum Predicted Loss Cost</t>
  </si>
  <si>
    <t>Base Frequency</t>
  </si>
  <si>
    <t>Base Severity</t>
  </si>
  <si>
    <t>Frequency Change</t>
  </si>
  <si>
    <t>Severity Change</t>
  </si>
  <si>
    <t>Expected Loss Cost Change Visualization</t>
  </si>
  <si>
    <t>Sev\Freq</t>
  </si>
  <si>
    <t>Adjusted Frequency</t>
  </si>
  <si>
    <t>Adjusted Severity</t>
  </si>
  <si>
    <t>Expected Loss Cost</t>
  </si>
  <si>
    <t>Frequency Model Validation</t>
  </si>
  <si>
    <t>Overall Severity Validation</t>
  </si>
  <si>
    <t>Loss Cost Model Validation</t>
  </si>
  <si>
    <t>Overall Calibration</t>
  </si>
  <si>
    <t>Predicted Frequency</t>
  </si>
  <si>
    <t>Percent Error</t>
  </si>
  <si>
    <t>Observed Loss Cost</t>
  </si>
  <si>
    <t>Difference</t>
  </si>
  <si>
    <t>All</t>
  </si>
  <si>
    <t>Observed Claims</t>
  </si>
  <si>
    <t>Predicted Claims</t>
  </si>
  <si>
    <t>NaN</t>
  </si>
  <si>
    <t>Variable</t>
  </si>
  <si>
    <t>Description</t>
  </si>
  <si>
    <t>Type</t>
  </si>
  <si>
    <t>Source</t>
  </si>
  <si>
    <t>IDpol</t>
  </si>
  <si>
    <t xml:space="preserve">Policy Identifier </t>
  </si>
  <si>
    <t xml:space="preserve">Integer </t>
  </si>
  <si>
    <t>ClaimFrequency</t>
  </si>
  <si>
    <t>Claim count divided by exposure</t>
  </si>
  <si>
    <t>ClaimNb</t>
  </si>
  <si>
    <t>Number of Claims</t>
  </si>
  <si>
    <t>AverageClaimSeverity</t>
  </si>
  <si>
    <t>Claim amount divided by claim count</t>
  </si>
  <si>
    <t>Policy Exposure</t>
  </si>
  <si>
    <t>Numeric</t>
  </si>
  <si>
    <t>ExpectedLoss</t>
  </si>
  <si>
    <t>Frequency times severity</t>
  </si>
  <si>
    <t>VehPower</t>
  </si>
  <si>
    <t>PredictedFrequency</t>
  </si>
  <si>
    <t>Model-estimated annualized frequency</t>
  </si>
  <si>
    <t>VehAge</t>
  </si>
  <si>
    <t>PredictedSeverity</t>
  </si>
  <si>
    <t>Model-estimated claim severity</t>
  </si>
  <si>
    <t>DrivAge</t>
  </si>
  <si>
    <t>PredictedLossCost</t>
  </si>
  <si>
    <t>Predicted frequency times predicted severity</t>
  </si>
  <si>
    <t>BonusMalus</t>
  </si>
  <si>
    <t>Bonus-Malus Score</t>
  </si>
  <si>
    <t>LossCostRelativity</t>
  </si>
  <si>
    <t>Predicted loss cost relative to portfolio average</t>
  </si>
  <si>
    <t>VehBrand</t>
  </si>
  <si>
    <t>Vehicle Brand</t>
  </si>
  <si>
    <t>Categorical</t>
  </si>
  <si>
    <t>VehGas</t>
  </si>
  <si>
    <t>Fuel Type</t>
  </si>
  <si>
    <t>Geographic Area</t>
  </si>
  <si>
    <t>Population Density</t>
  </si>
  <si>
    <t>ClaimAmount</t>
  </si>
  <si>
    <t>Claim Severity</t>
  </si>
  <si>
    <t>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</si>
</sst>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00"/>
    <numFmt numFmtId="165" formatCode="_(* #,##0.000_);_(* \(#,##0.000\);_(* &quot;-&quot;??_);_(@_)"/>
    <numFmt numFmtId="166" formatCode="0.0000"/>
    <numFmt numFmtId="167" formatCode="_(* #,##0.0000_);_(* \(#,##0.0000\);_(* &quot;-&quot;??_);_(@_)"/>
    <numFmt numFmtId="168" formatCode="_(* #,##0.0_);_(* \(#,##0.0\);_(* &quot;-&quot;??_);_(@_)"/>
    <numFmt numFmtId="169" formatCode="0.000"/>
  </numFmts>
  <fonts count="11">
    <font>
      <sz val="11"/>
      <color theme="1"/>
      <name val="Calibri"/>
      <family val="2"/>
      <scheme val="minor"/>
    </font>
    <font>
      <sz val="11"/>
      <color theme="0"/>
      <name val="Calibri"/>
      <family val="2"/>
      <scheme val="minor"/>
    </font>
    <font>
      <sz val="11"/>
      <color rgb="FF000000"/>
      <name val="Calibri"/>
      <family val="2"/>
    </font>
    <font>
      <sz val="11"/>
      <color theme="0"/>
      <name val="Calibri"/>
      <family val="2"/>
    </font>
    <font>
      <sz val="11"/>
      <color rgb="FFFFFFFF"/>
      <name val="Calibri"/>
      <scheme val="minor"/>
    </font>
    <font>
      <b/>
      <sz val="11"/>
      <color theme="0"/>
      <name val="Calibri"/>
      <family val="2"/>
      <scheme val="minor"/>
    </font>
    <font>
      <sz val="18"/>
      <color rgb="FF000000"/>
      <name val="Calibri"/>
      <scheme val="minor"/>
    </font>
    <font>
      <sz val="18"/>
      <color rgb="FF000000"/>
      <name val="Calibri"/>
      <charset val="1"/>
    </font>
    <font>
      <sz val="11"/>
      <color rgb="FF000000"/>
      <name val="Calibri"/>
      <scheme val="minor"/>
    </font>
    <font>
      <b/>
      <sz val="11"/>
      <color rgb="FF000000"/>
      <name val="Calibri"/>
      <scheme val="minor"/>
    </font>
    <font>
      <b/>
      <sz val="11"/>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79998168889431442"/>
        <bgColor indexed="64"/>
      </patternFill>
    </fill>
    <fill>
      <patternFill patternType="solid">
        <fgColor theme="4"/>
        <bgColor theme="4"/>
      </patternFill>
    </fill>
    <fill>
      <patternFill patternType="solid">
        <fgColor theme="4" tint="0.59999389629810485"/>
        <bgColor indexed="64"/>
      </patternFill>
    </fill>
    <fill>
      <patternFill patternType="solid">
        <fgColor theme="4" tint="0.39997558519241921"/>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65">
    <xf numFmtId="0" fontId="0" fillId="0" borderId="0" xfId="0"/>
    <xf numFmtId="3" fontId="0" fillId="0" borderId="0" xfId="0" applyNumberFormat="1"/>
    <xf numFmtId="8" fontId="0" fillId="0" borderId="0" xfId="0" applyNumberFormat="1"/>
    <xf numFmtId="6" fontId="0" fillId="0" borderId="0" xfId="0" applyNumberFormat="1"/>
    <xf numFmtId="4" fontId="0" fillId="0" borderId="0" xfId="0" applyNumberFormat="1"/>
    <xf numFmtId="0" fontId="2" fillId="0" borderId="0" xfId="0" applyFont="1" applyBorder="1" applyAlignment="1"/>
    <xf numFmtId="0" fontId="3" fillId="0" borderId="0" xfId="0" applyFont="1" applyBorder="1" applyAlignment="1"/>
    <xf numFmtId="0" fontId="0" fillId="3" borderId="1" xfId="0" applyFont="1" applyFill="1" applyBorder="1"/>
    <xf numFmtId="8" fontId="0" fillId="3" borderId="2" xfId="0" applyNumberFormat="1" applyFont="1" applyFill="1" applyBorder="1"/>
    <xf numFmtId="0" fontId="0" fillId="0" borderId="1" xfId="0" applyFont="1" applyBorder="1"/>
    <xf numFmtId="6" fontId="0" fillId="0" borderId="2" xfId="0" applyNumberFormat="1" applyFont="1" applyBorder="1"/>
    <xf numFmtId="8" fontId="0" fillId="0" borderId="2" xfId="0" applyNumberFormat="1" applyFont="1" applyBorder="1"/>
    <xf numFmtId="4" fontId="0" fillId="0" borderId="2" xfId="0" applyNumberFormat="1" applyFont="1" applyBorder="1"/>
    <xf numFmtId="4" fontId="0" fillId="3" borderId="2" xfId="0" applyNumberFormat="1" applyFont="1" applyFill="1" applyBorder="1"/>
    <xf numFmtId="0" fontId="3" fillId="0" borderId="0" xfId="0" applyFont="1" applyAlignment="1"/>
    <xf numFmtId="0" fontId="0" fillId="0" borderId="0" xfId="0" applyNumberFormat="1"/>
    <xf numFmtId="16" fontId="0" fillId="0" borderId="0" xfId="0" quotePrefix="1" applyNumberFormat="1"/>
    <xf numFmtId="0" fontId="0" fillId="0" borderId="0" xfId="0" quotePrefix="1"/>
    <xf numFmtId="43" fontId="0" fillId="0" borderId="0" xfId="0" applyNumberFormat="1"/>
    <xf numFmtId="164" fontId="0" fillId="0" borderId="0" xfId="0" applyNumberFormat="1"/>
    <xf numFmtId="43" fontId="2" fillId="0" borderId="0" xfId="0" applyNumberFormat="1" applyFont="1" applyBorder="1" applyAlignment="1"/>
    <xf numFmtId="43" fontId="2" fillId="0" borderId="0" xfId="0" applyNumberFormat="1" applyFont="1" applyAlignment="1"/>
    <xf numFmtId="164" fontId="2" fillId="0" borderId="0" xfId="0" applyNumberFormat="1" applyFont="1" applyAlignment="1"/>
    <xf numFmtId="165" fontId="0" fillId="0" borderId="0" xfId="0" applyNumberFormat="1"/>
    <xf numFmtId="10" fontId="0" fillId="0" borderId="0" xfId="0" applyNumberFormat="1"/>
    <xf numFmtId="10" fontId="0" fillId="5" borderId="0" xfId="0" applyNumberFormat="1" applyFill="1"/>
    <xf numFmtId="0" fontId="0" fillId="5" borderId="0" xfId="0" applyFill="1" applyAlignment="1">
      <alignment horizontal="right"/>
    </xf>
    <xf numFmtId="0" fontId="5" fillId="6" borderId="3" xfId="0" applyFont="1" applyFill="1" applyBorder="1"/>
    <xf numFmtId="0" fontId="0" fillId="3" borderId="3" xfId="0" applyFont="1" applyFill="1" applyBorder="1"/>
    <xf numFmtId="0" fontId="0" fillId="0" borderId="3" xfId="0" applyFont="1" applyBorder="1"/>
    <xf numFmtId="166" fontId="0" fillId="0" borderId="0" xfId="0" applyNumberFormat="1"/>
    <xf numFmtId="166" fontId="0" fillId="3" borderId="3" xfId="0" applyNumberFormat="1" applyFont="1" applyFill="1" applyBorder="1"/>
    <xf numFmtId="166" fontId="0" fillId="0" borderId="3" xfId="0" applyNumberFormat="1" applyFont="1" applyBorder="1"/>
    <xf numFmtId="10" fontId="0" fillId="0" borderId="0" xfId="0" applyNumberFormat="1" applyAlignment="1">
      <alignment horizontal="right"/>
    </xf>
    <xf numFmtId="166" fontId="0" fillId="0" borderId="0" xfId="0" applyNumberFormat="1" applyBorder="1"/>
    <xf numFmtId="167" fontId="0" fillId="0" borderId="0" xfId="0" applyNumberFormat="1"/>
    <xf numFmtId="168" fontId="0" fillId="0" borderId="0" xfId="0" applyNumberFormat="1"/>
    <xf numFmtId="167" fontId="0" fillId="0" borderId="0" xfId="0" applyNumberFormat="1" applyBorder="1"/>
    <xf numFmtId="168" fontId="0" fillId="0" borderId="0" xfId="0" applyNumberFormat="1" applyBorder="1"/>
    <xf numFmtId="167" fontId="0" fillId="3" borderId="3" xfId="0" applyNumberFormat="1" applyFont="1" applyFill="1" applyBorder="1"/>
    <xf numFmtId="167" fontId="0" fillId="0" borderId="3" xfId="0" applyNumberFormat="1" applyFont="1" applyBorder="1"/>
    <xf numFmtId="0" fontId="5" fillId="6" borderId="5" xfId="0" applyFont="1" applyFill="1" applyBorder="1"/>
    <xf numFmtId="0" fontId="0" fillId="3" borderId="4" xfId="0" applyFont="1" applyFill="1" applyBorder="1"/>
    <xf numFmtId="167" fontId="0" fillId="3" borderId="4" xfId="0" applyNumberFormat="1" applyFont="1" applyFill="1" applyBorder="1"/>
    <xf numFmtId="10" fontId="0" fillId="3" borderId="3" xfId="0" applyNumberFormat="1" applyFont="1" applyFill="1" applyBorder="1"/>
    <xf numFmtId="10" fontId="0" fillId="3" borderId="4" xfId="0" applyNumberFormat="1" applyFont="1" applyFill="1" applyBorder="1"/>
    <xf numFmtId="10" fontId="0" fillId="3" borderId="3" xfId="0" applyNumberFormat="1" applyFont="1" applyFill="1" applyBorder="1" applyAlignment="1">
      <alignment horizontal="right"/>
    </xf>
    <xf numFmtId="0" fontId="0" fillId="0" borderId="0" xfId="0" applyAlignment="1">
      <alignment horizontal="center"/>
    </xf>
    <xf numFmtId="169" fontId="0" fillId="0" borderId="0" xfId="0" applyNumberFormat="1"/>
    <xf numFmtId="0" fontId="0" fillId="5" borderId="0" xfId="0" applyFill="1"/>
    <xf numFmtId="0" fontId="9" fillId="0" borderId="0" xfId="0" applyFont="1" applyAlignment="1">
      <alignment horizontal="center"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0" fillId="8" borderId="0" xfId="0" applyFill="1" applyAlignment="1">
      <alignment horizontal="center"/>
    </xf>
    <xf numFmtId="0" fontId="0" fillId="5" borderId="0" xfId="0" applyFill="1" applyAlignment="1">
      <alignment horizontal="center"/>
    </xf>
    <xf numFmtId="0" fontId="8" fillId="8" borderId="0" xfId="0" applyFont="1" applyFill="1" applyAlignment="1">
      <alignment horizontal="center"/>
    </xf>
    <xf numFmtId="0" fontId="1" fillId="8" borderId="0" xfId="0" applyFont="1" applyFill="1" applyAlignment="1">
      <alignment horizontal="center"/>
    </xf>
    <xf numFmtId="0" fontId="0" fillId="5" borderId="0" xfId="0" applyFill="1" applyAlignment="1">
      <alignment horizontal="left"/>
    </xf>
    <xf numFmtId="0" fontId="1" fillId="2" borderId="0" xfId="0" applyFont="1" applyFill="1" applyAlignment="1">
      <alignment horizontal="center"/>
    </xf>
    <xf numFmtId="0" fontId="0" fillId="7" borderId="5" xfId="0" applyFill="1" applyBorder="1" applyAlignment="1">
      <alignment horizontal="center"/>
    </xf>
    <xf numFmtId="0" fontId="1" fillId="4" borderId="0" xfId="0" applyFont="1" applyFill="1" applyAlignment="1">
      <alignment horizontal="center"/>
    </xf>
    <xf numFmtId="0" fontId="4" fillId="4" borderId="0" xfId="0" applyFont="1" applyFill="1" applyAlignment="1">
      <alignment horizontal="center"/>
    </xf>
    <xf numFmtId="0" fontId="6" fillId="5" borderId="0" xfId="0" applyFont="1" applyFill="1" applyAlignment="1">
      <alignment horizontal="center"/>
    </xf>
    <xf numFmtId="0" fontId="1" fillId="2" borderId="5" xfId="0" applyFont="1" applyFill="1" applyBorder="1" applyAlignment="1">
      <alignment horizontal="center"/>
    </xf>
    <xf numFmtId="0" fontId="7" fillId="5" borderId="0" xfId="0" applyFont="1" applyFill="1" applyAlignment="1">
      <alignment horizontal="center"/>
    </xf>
  </cellXfs>
  <cellStyles count="1">
    <cellStyle name="Normal" xfId="0" builtinId="0"/>
  </cellStyles>
  <dxfs count="150">
    <dxf>
      <numFmt numFmtId="14" formatCode="0.00%"/>
    </dxf>
    <dxf>
      <numFmt numFmtId="167" formatCode="_(* #,##0.0000_);_(* \(#,##0.0000\);_(* &quot;-&quot;??_);_(@_)"/>
    </dxf>
    <dxf>
      <numFmt numFmtId="167" formatCode="_(* #,##0.0000_);_(* \(#,##0.0000\);_(* &quot;-&quot;??_);_(@_)"/>
    </dxf>
    <dxf>
      <numFmt numFmtId="167" formatCode="_(* #,##0.0000_);_(* \(#,##0.0000\);_(* &quot;-&quot;??_);_(@_)"/>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7" formatCode="_(* #,##0.0000_);_(* \(#,##0.000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4" formatCode="0.00%"/>
    </dxf>
    <dxf>
      <numFmt numFmtId="166" formatCode="0.0000"/>
    </dxf>
    <dxf>
      <numFmt numFmtId="166" formatCode="0.0000"/>
    </dxf>
    <dxf>
      <numFmt numFmtId="167" formatCode="_(* #,##0.0000_);_(* \(#,##0.0000\);_(* &quot;-&quot;??_);_(@_)"/>
    </dxf>
    <dxf>
      <numFmt numFmtId="168" formatCode="_(* #,##0.0_);_(* \(#,##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35" formatCode="_(* #,##0.00_);_(* \(#,##0.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35" formatCode="_(* #,##0.00_);_(* \(#,##0.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numFmt numFmtId="166" formatCode="0.0000"/>
    </dxf>
    <dxf>
      <numFmt numFmtId="167" formatCode="_(* #,##0.0000_);_(* \(#,##0.0000\);_(* &quot;-&quot;??_);_(@_)"/>
    </dxf>
    <dxf>
      <numFmt numFmtId="168" formatCode="_(* #,##0.0_);_(* \(#,##0.0\);_(* &quot;-&quot;??_);_(@_)"/>
    </dxf>
    <dxf>
      <numFmt numFmtId="167" formatCode="_(* #,##0.0000_);_(* \(#,##0.000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14" formatCode="0.00%"/>
    </dxf>
    <dxf>
      <numFmt numFmtId="166" formatCode="0.0000"/>
    </dxf>
    <dxf>
      <font>
        <b val="0"/>
        <i val="0"/>
        <strike val="0"/>
        <condense val="0"/>
        <extend val="0"/>
        <outline val="0"/>
        <shadow val="0"/>
        <u val="none"/>
        <vertAlign val="baseline"/>
        <sz val="11"/>
        <color theme="1"/>
        <name val="Calibri"/>
        <family val="2"/>
        <scheme val="minor"/>
      </font>
      <numFmt numFmtId="166" formatCode="0.0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7" formatCode="_(* #,##0.0000_);_(* \(#,##0.0000\);_(* &quot;-&quot;??_);_(@_)"/>
    </dxf>
    <dxf>
      <numFmt numFmtId="168" formatCode="_(* #,##0.0_);_(* \(#,##0.0\);_(* &quot;-&quot;??_);_(@_)"/>
    </dxf>
    <dxf>
      <numFmt numFmtId="167" formatCode="_(* #,##0.0000_);_(* \(#,##0.0000\);_(* &quot;-&quot;??_);_(@_)"/>
    </dxf>
    <dxf>
      <numFmt numFmtId="14" formatCode="0.00%"/>
    </dxf>
    <dxf>
      <numFmt numFmtId="14" formatCode="0.00%"/>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Driver Age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D070-4639-9C1C-962716AFDC6A}"/>
            </c:ext>
          </c:extLst>
        </c:ser>
        <c:dLbls>
          <c:showLegendKey val="0"/>
          <c:showVal val="0"/>
          <c:showCatName val="0"/>
          <c:showSerName val="0"/>
          <c:showPercent val="0"/>
          <c:showBubbleSize val="0"/>
        </c:dLbls>
        <c:marker val="1"/>
        <c:smooth val="0"/>
        <c:axId val="379490311"/>
        <c:axId val="379492359"/>
      </c:lineChart>
      <c:catAx>
        <c:axId val="379490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92359"/>
        <c:crosses val="autoZero"/>
        <c:auto val="1"/>
        <c:lblAlgn val="ctr"/>
        <c:lblOffset val="100"/>
        <c:noMultiLvlLbl val="0"/>
      </c:catAx>
      <c:valAx>
        <c:axId val="37949235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90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Claim Amount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Analysis'!$A$4:$A$9</c:f>
              <c:strCache>
                <c:ptCount val="6"/>
                <c:pt idx="0">
                  <c:v>75th Percentile</c:v>
                </c:pt>
                <c:pt idx="1">
                  <c:v>90th Percentile</c:v>
                </c:pt>
                <c:pt idx="2">
                  <c:v>95th Percentile</c:v>
                </c:pt>
                <c:pt idx="3">
                  <c:v>99th Percentile</c:v>
                </c:pt>
                <c:pt idx="4">
                  <c:v>99.9th Percentile</c:v>
                </c:pt>
                <c:pt idx="5">
                  <c:v>Maximum</c:v>
                </c:pt>
              </c:strCache>
            </c:strRef>
          </c:cat>
          <c:val>
            <c:numRef>
              <c:f>'Severity Analysis'!$B$4:$B$9</c:f>
              <c:numCache>
                <c:formatCode>"$"#,##0.00_);[Red]\("$"#,##0.00\)</c:formatCode>
                <c:ptCount val="6"/>
                <c:pt idx="0">
                  <c:v>1228.08</c:v>
                </c:pt>
                <c:pt idx="1">
                  <c:v>2799.07</c:v>
                </c:pt>
                <c:pt idx="2">
                  <c:v>4861.6899999999996</c:v>
                </c:pt>
                <c:pt idx="3" formatCode="#,##0.00">
                  <c:v>16793.7</c:v>
                </c:pt>
                <c:pt idx="4" formatCode="#,##0.00">
                  <c:v>162784.44</c:v>
                </c:pt>
                <c:pt idx="5">
                  <c:v>4075400.56</c:v>
                </c:pt>
              </c:numCache>
            </c:numRef>
          </c:val>
          <c:smooth val="0"/>
          <c:extLst>
            <c:ext xmlns:c16="http://schemas.microsoft.com/office/drawing/2014/chart" uri="{C3380CC4-5D6E-409C-BE32-E72D297353CC}">
              <c16:uniqueId val="{00000000-DC9A-4E7E-810E-C6370C49188D}"/>
            </c:ext>
          </c:extLst>
        </c:ser>
        <c:dLbls>
          <c:showLegendKey val="0"/>
          <c:showVal val="0"/>
          <c:showCatName val="0"/>
          <c:showSerName val="0"/>
          <c:showPercent val="0"/>
          <c:showBubbleSize val="0"/>
        </c:dLbls>
        <c:marker val="1"/>
        <c:smooth val="0"/>
        <c:axId val="200738824"/>
        <c:axId val="200772616"/>
      </c:lineChart>
      <c:catAx>
        <c:axId val="20073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2616"/>
        <c:crosses val="autoZero"/>
        <c:auto val="1"/>
        <c:lblAlgn val="ctr"/>
        <c:lblOffset val="100"/>
        <c:noMultiLvlLbl val="0"/>
      </c:catAx>
      <c:valAx>
        <c:axId val="200772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D1DD-4F5B-BBAC-69A4853B92F6}"/>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Validation'!$F$7:$F$13</c:f>
              <c:numCache>
                <c:formatCode>0.0000</c:formatCode>
                <c:ptCount val="7"/>
                <c:pt idx="0">
                  <c:v>0.1612822178348513</c:v>
                </c:pt>
                <c:pt idx="1">
                  <c:v>0.11475072708327698</c:v>
                </c:pt>
                <c:pt idx="2">
                  <c:v>9.2175434324501357E-2</c:v>
                </c:pt>
                <c:pt idx="3">
                  <c:v>9.1526954611675274E-2</c:v>
                </c:pt>
                <c:pt idx="4">
                  <c:v>9.7065745820894972E-2</c:v>
                </c:pt>
                <c:pt idx="5">
                  <c:v>0.10119006677621456</c:v>
                </c:pt>
                <c:pt idx="6">
                  <c:v>0.10433095083299361</c:v>
                </c:pt>
              </c:numCache>
            </c:numRef>
          </c:val>
          <c:smooth val="0"/>
          <c:extLst>
            <c:ext xmlns:c16="http://schemas.microsoft.com/office/drawing/2014/chart" uri="{C3380CC4-5D6E-409C-BE32-E72D297353CC}">
              <c16:uniqueId val="{00000001-D1DD-4F5B-BBAC-69A4853B92F6}"/>
            </c:ext>
          </c:extLst>
        </c:ser>
        <c:dLbls>
          <c:showLegendKey val="0"/>
          <c:showVal val="0"/>
          <c:showCatName val="0"/>
          <c:showSerName val="0"/>
          <c:showPercent val="0"/>
          <c:showBubbleSize val="0"/>
        </c:dLbls>
        <c:marker val="1"/>
        <c:smooth val="0"/>
        <c:axId val="43271176"/>
        <c:axId val="71379976"/>
      </c:lineChart>
      <c:catAx>
        <c:axId val="4327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9976"/>
        <c:crosses val="autoZero"/>
        <c:auto val="1"/>
        <c:lblAlgn val="ctr"/>
        <c:lblOffset val="100"/>
        <c:noMultiLvlLbl val="0"/>
      </c:catAx>
      <c:valAx>
        <c:axId val="7137997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Claim Amount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Analysis'!$A$4:$A$9</c:f>
              <c:strCache>
                <c:ptCount val="6"/>
                <c:pt idx="0">
                  <c:v>75th Percentile</c:v>
                </c:pt>
                <c:pt idx="1">
                  <c:v>90th Percentile</c:v>
                </c:pt>
                <c:pt idx="2">
                  <c:v>95th Percentile</c:v>
                </c:pt>
                <c:pt idx="3">
                  <c:v>99th Percentile</c:v>
                </c:pt>
                <c:pt idx="4">
                  <c:v>99.9th Percentile</c:v>
                </c:pt>
                <c:pt idx="5">
                  <c:v>Maximum</c:v>
                </c:pt>
              </c:strCache>
            </c:strRef>
          </c:cat>
          <c:val>
            <c:numRef>
              <c:f>'Severity Analysis'!$B$4:$B$9</c:f>
              <c:numCache>
                <c:formatCode>"$"#,##0.00_);[Red]\("$"#,##0.00\)</c:formatCode>
                <c:ptCount val="6"/>
                <c:pt idx="0">
                  <c:v>1228.08</c:v>
                </c:pt>
                <c:pt idx="1">
                  <c:v>2799.07</c:v>
                </c:pt>
                <c:pt idx="2">
                  <c:v>4861.6899999999996</c:v>
                </c:pt>
                <c:pt idx="3" formatCode="#,##0.00">
                  <c:v>16793.7</c:v>
                </c:pt>
                <c:pt idx="4" formatCode="#,##0.00">
                  <c:v>162784.44</c:v>
                </c:pt>
                <c:pt idx="5">
                  <c:v>4075400.56</c:v>
                </c:pt>
              </c:numCache>
            </c:numRef>
          </c:val>
          <c:smooth val="0"/>
          <c:extLst>
            <c:ext xmlns:c16="http://schemas.microsoft.com/office/drawing/2014/chart" uri="{C3380CC4-5D6E-409C-BE32-E72D297353CC}">
              <c16:uniqueId val="{00000000-FBBA-4A4D-9001-EC9878DAD48D}"/>
            </c:ext>
          </c:extLst>
        </c:ser>
        <c:dLbls>
          <c:showLegendKey val="0"/>
          <c:showVal val="0"/>
          <c:showCatName val="0"/>
          <c:showSerName val="0"/>
          <c:showPercent val="0"/>
          <c:showBubbleSize val="0"/>
        </c:dLbls>
        <c:marker val="1"/>
        <c:smooth val="0"/>
        <c:axId val="200738824"/>
        <c:axId val="200772616"/>
      </c:lineChart>
      <c:catAx>
        <c:axId val="20073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2616"/>
        <c:crosses val="autoZero"/>
        <c:auto val="1"/>
        <c:lblAlgn val="ctr"/>
        <c:lblOffset val="100"/>
        <c:noMultiLvlLbl val="0"/>
      </c:catAx>
      <c:valAx>
        <c:axId val="200772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Validation'!$E$7:$E$13</c:f>
              <c:numCache>
                <c:formatCode>0.0000</c:formatCode>
                <c:ptCount val="7"/>
                <c:pt idx="0">
                  <c:v>0.19369908193008228</c:v>
                </c:pt>
                <c:pt idx="1">
                  <c:v>0.1025674639822431</c:v>
                </c:pt>
                <c:pt idx="2">
                  <c:v>9.4387332234193488E-2</c:v>
                </c:pt>
                <c:pt idx="3">
                  <c:v>0.10464511707445306</c:v>
                </c:pt>
                <c:pt idx="4">
                  <c:v>9.2456665856405842E-2</c:v>
                </c:pt>
                <c:pt idx="5">
                  <c:v>8.6097071555129981E-2</c:v>
                </c:pt>
                <c:pt idx="6">
                  <c:v>0.10057583293281425</c:v>
                </c:pt>
              </c:numCache>
            </c:numRef>
          </c:val>
          <c:smooth val="0"/>
          <c:extLst>
            <c:ext xmlns:c16="http://schemas.microsoft.com/office/drawing/2014/chart" uri="{C3380CC4-5D6E-409C-BE32-E72D297353CC}">
              <c16:uniqueId val="{00000000-2052-4367-A457-8CA1F9EEAE12}"/>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Validation'!$A$7:$A$13</c:f>
              <c:strCache>
                <c:ptCount val="7"/>
                <c:pt idx="0">
                  <c:v>18-24</c:v>
                </c:pt>
                <c:pt idx="1">
                  <c:v>25-34</c:v>
                </c:pt>
                <c:pt idx="2">
                  <c:v>35-44</c:v>
                </c:pt>
                <c:pt idx="3">
                  <c:v>45-54</c:v>
                </c:pt>
                <c:pt idx="4">
                  <c:v>55-64</c:v>
                </c:pt>
                <c:pt idx="5">
                  <c:v>65-74</c:v>
                </c:pt>
                <c:pt idx="6">
                  <c:v>75+</c:v>
                </c:pt>
              </c:strCache>
            </c:strRef>
          </c:cat>
          <c:val>
            <c:numRef>
              <c:f>'Model Validation'!$F$7:$F$13</c:f>
              <c:numCache>
                <c:formatCode>0.0000</c:formatCode>
                <c:ptCount val="7"/>
                <c:pt idx="0">
                  <c:v>0.1612822178348513</c:v>
                </c:pt>
                <c:pt idx="1">
                  <c:v>0.11475072708327698</c:v>
                </c:pt>
                <c:pt idx="2">
                  <c:v>9.2175434324501357E-2</c:v>
                </c:pt>
                <c:pt idx="3">
                  <c:v>9.1526954611675274E-2</c:v>
                </c:pt>
                <c:pt idx="4">
                  <c:v>9.7065745820894972E-2</c:v>
                </c:pt>
                <c:pt idx="5">
                  <c:v>0.10119006677621456</c:v>
                </c:pt>
                <c:pt idx="6">
                  <c:v>0.10433095083299361</c:v>
                </c:pt>
              </c:numCache>
            </c:numRef>
          </c:val>
          <c:smooth val="0"/>
          <c:extLst>
            <c:ext xmlns:c16="http://schemas.microsoft.com/office/drawing/2014/chart" uri="{C3380CC4-5D6E-409C-BE32-E72D297353CC}">
              <c16:uniqueId val="{00000002-2052-4367-A457-8CA1F9EEAE12}"/>
            </c:ext>
          </c:extLst>
        </c:ser>
        <c:dLbls>
          <c:showLegendKey val="0"/>
          <c:showVal val="0"/>
          <c:showCatName val="0"/>
          <c:showSerName val="0"/>
          <c:showPercent val="0"/>
          <c:showBubbleSize val="0"/>
        </c:dLbls>
        <c:marker val="1"/>
        <c:smooth val="0"/>
        <c:axId val="43271176"/>
        <c:axId val="71379976"/>
      </c:lineChart>
      <c:catAx>
        <c:axId val="4327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9976"/>
        <c:crosses val="autoZero"/>
        <c:auto val="1"/>
        <c:lblAlgn val="ctr"/>
        <c:lblOffset val="100"/>
        <c:noMultiLvlLbl val="0"/>
      </c:catAx>
      <c:valAx>
        <c:axId val="7137997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1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Observed vs Predicted Frequency By Bonus Malus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cat>
            <c:strRef>
              <c:f>'Model Validation'!$A$16:$A$21</c:f>
              <c:strCache>
                <c:ptCount val="6"/>
                <c:pt idx="0">
                  <c:v>&lt;80</c:v>
                </c:pt>
                <c:pt idx="1">
                  <c:v>80 - 99</c:v>
                </c:pt>
                <c:pt idx="2">
                  <c:v>100 - 119</c:v>
                </c:pt>
                <c:pt idx="3">
                  <c:v>120 - 139</c:v>
                </c:pt>
                <c:pt idx="4">
                  <c:v>140 - 159</c:v>
                </c:pt>
                <c:pt idx="5">
                  <c:v>160+</c:v>
                </c:pt>
              </c:strCache>
            </c:strRef>
          </c:cat>
          <c:val>
            <c:numRef>
              <c:f>'Model Validation'!$E$16:$E$21</c:f>
              <c:numCache>
                <c:formatCode>0.0000</c:formatCode>
                <c:ptCount val="6"/>
                <c:pt idx="0">
                  <c:v>9.0864600594800962E-2</c:v>
                </c:pt>
                <c:pt idx="1">
                  <c:v>0.14501181338065577</c:v>
                </c:pt>
                <c:pt idx="2">
                  <c:v>0.28215668405201205</c:v>
                </c:pt>
                <c:pt idx="3">
                  <c:v>0.41594775134713619</c:v>
                </c:pt>
                <c:pt idx="4">
                  <c:v>0.49090428004714648</c:v>
                </c:pt>
                <c:pt idx="5">
                  <c:v>0.93896713615023475</c:v>
                </c:pt>
              </c:numCache>
            </c:numRef>
          </c:val>
          <c:smooth val="0"/>
          <c:extLst>
            <c:ext xmlns:c16="http://schemas.microsoft.com/office/drawing/2014/chart" uri="{C3380CC4-5D6E-409C-BE32-E72D297353CC}">
              <c16:uniqueId val="{00000000-50B6-4CE1-9E3B-1B789F7AFE9E}"/>
            </c:ext>
          </c:extLst>
        </c:ser>
        <c:ser>
          <c:idx val="1"/>
          <c:order val="1"/>
          <c:tx>
            <c:v>Predicted</c:v>
          </c:tx>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cat>
            <c:strRef>
              <c:f>'Model Validation'!$A$16:$A$21</c:f>
              <c:strCache>
                <c:ptCount val="6"/>
                <c:pt idx="0">
                  <c:v>&lt;80</c:v>
                </c:pt>
                <c:pt idx="1">
                  <c:v>80 - 99</c:v>
                </c:pt>
                <c:pt idx="2">
                  <c:v>100 - 119</c:v>
                </c:pt>
                <c:pt idx="3">
                  <c:v>120 - 139</c:v>
                </c:pt>
                <c:pt idx="4">
                  <c:v>140 - 159</c:v>
                </c:pt>
                <c:pt idx="5">
                  <c:v>160+</c:v>
                </c:pt>
              </c:strCache>
            </c:strRef>
          </c:cat>
          <c:val>
            <c:numRef>
              <c:f>'Model Validation'!$F$16:$F$21</c:f>
              <c:numCache>
                <c:formatCode>0.0000</c:formatCode>
                <c:ptCount val="6"/>
                <c:pt idx="0">
                  <c:v>8.8978064010501429E-2</c:v>
                </c:pt>
                <c:pt idx="1">
                  <c:v>0.16908251079948469</c:v>
                </c:pt>
                <c:pt idx="2">
                  <c:v>0.24483833870856</c:v>
                </c:pt>
                <c:pt idx="3">
                  <c:v>0.39279490365736947</c:v>
                </c:pt>
                <c:pt idx="4">
                  <c:v>0.68567067003782334</c:v>
                </c:pt>
                <c:pt idx="5">
                  <c:v>1.9841572769953053</c:v>
                </c:pt>
              </c:numCache>
            </c:numRef>
          </c:val>
          <c:smooth val="0"/>
          <c:extLst>
            <c:ext xmlns:c16="http://schemas.microsoft.com/office/drawing/2014/chart" uri="{C3380CC4-5D6E-409C-BE32-E72D297353CC}">
              <c16:uniqueId val="{00000002-50B6-4CE1-9E3B-1B789F7AFE9E}"/>
            </c:ext>
          </c:extLst>
        </c:ser>
        <c:dLbls>
          <c:showLegendKey val="0"/>
          <c:showVal val="0"/>
          <c:showCatName val="0"/>
          <c:showSerName val="0"/>
          <c:showPercent val="0"/>
          <c:showBubbleSize val="0"/>
        </c:dLbls>
        <c:marker val="1"/>
        <c:smooth val="0"/>
        <c:axId val="142291464"/>
        <c:axId val="142293512"/>
      </c:lineChart>
      <c:catAx>
        <c:axId val="14229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3512"/>
        <c:crosses val="autoZero"/>
        <c:auto val="1"/>
        <c:lblAlgn val="ctr"/>
        <c:lblOffset val="100"/>
        <c:noMultiLvlLbl val="0"/>
      </c:catAx>
      <c:valAx>
        <c:axId val="14229351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Frequency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Validation'!$A$39:$A$59</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Validation'!$E$39:$E$59</c:f>
              <c:numCache>
                <c:formatCode>0.0000</c:formatCode>
                <c:ptCount val="21"/>
                <c:pt idx="0">
                  <c:v>0.12011851853987292</c:v>
                </c:pt>
                <c:pt idx="1">
                  <c:v>0.10992825191506575</c:v>
                </c:pt>
                <c:pt idx="2">
                  <c:v>7.7966651200452639E-2</c:v>
                </c:pt>
                <c:pt idx="3">
                  <c:v>0.10167033578705585</c:v>
                </c:pt>
                <c:pt idx="4">
                  <c:v>8.4971649451936498E-2</c:v>
                </c:pt>
                <c:pt idx="5">
                  <c:v>9.7275408918079412E-2</c:v>
                </c:pt>
                <c:pt idx="6">
                  <c:v>8.9986068912998762E-2</c:v>
                </c:pt>
                <c:pt idx="7">
                  <c:v>0.16044269490995283</c:v>
                </c:pt>
                <c:pt idx="8">
                  <c:v>0.13666361027043772</c:v>
                </c:pt>
                <c:pt idx="9">
                  <c:v>0.12080736723272355</c:v>
                </c:pt>
                <c:pt idx="10">
                  <c:v>9.1018247609766262E-2</c:v>
                </c:pt>
                <c:pt idx="11">
                  <c:v>0.13432453208610304</c:v>
                </c:pt>
                <c:pt idx="12">
                  <c:v>0.10104614270847848</c:v>
                </c:pt>
                <c:pt idx="13">
                  <c:v>0.12381852562555395</c:v>
                </c:pt>
                <c:pt idx="14">
                  <c:v>9.3872382611849742E-2</c:v>
                </c:pt>
                <c:pt idx="15">
                  <c:v>9.0473571708516748E-2</c:v>
                </c:pt>
                <c:pt idx="16">
                  <c:v>8.9385649429848252E-2</c:v>
                </c:pt>
                <c:pt idx="17">
                  <c:v>0.11595432729708753</c:v>
                </c:pt>
                <c:pt idx="18">
                  <c:v>8.6169119354578563E-2</c:v>
                </c:pt>
                <c:pt idx="19">
                  <c:v>0.11193756425283392</c:v>
                </c:pt>
                <c:pt idx="20">
                  <c:v>0.10727179823454332</c:v>
                </c:pt>
              </c:numCache>
            </c:numRef>
          </c:val>
          <c:smooth val="0"/>
          <c:extLst>
            <c:ext xmlns:c16="http://schemas.microsoft.com/office/drawing/2014/chart" uri="{C3380CC4-5D6E-409C-BE32-E72D297353CC}">
              <c16:uniqueId val="{00000000-73D4-454C-879A-19A036FB15A9}"/>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Validation'!$A$39:$A$59</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Validation'!$F$39:$F$59</c:f>
              <c:numCache>
                <c:formatCode>0.0000</c:formatCode>
                <c:ptCount val="21"/>
                <c:pt idx="0">
                  <c:v>0.10799432273490779</c:v>
                </c:pt>
                <c:pt idx="1">
                  <c:v>9.5270807808879754E-2</c:v>
                </c:pt>
                <c:pt idx="2">
                  <c:v>8.2307767838326634E-2</c:v>
                </c:pt>
                <c:pt idx="3">
                  <c:v>9.4798158012255523E-2</c:v>
                </c:pt>
                <c:pt idx="4">
                  <c:v>0.10170791336196748</c:v>
                </c:pt>
                <c:pt idx="5">
                  <c:v>9.716498173003027E-2</c:v>
                </c:pt>
                <c:pt idx="6">
                  <c:v>8.9161280470140755E-2</c:v>
                </c:pt>
                <c:pt idx="7">
                  <c:v>0.13805649114197219</c:v>
                </c:pt>
                <c:pt idx="8">
                  <c:v>0.13752568717118219</c:v>
                </c:pt>
                <c:pt idx="9">
                  <c:v>0.10493065363156248</c:v>
                </c:pt>
                <c:pt idx="10">
                  <c:v>9.4324381881702363E-2</c:v>
                </c:pt>
                <c:pt idx="11">
                  <c:v>0.13268648930176499</c:v>
                </c:pt>
                <c:pt idx="12">
                  <c:v>0.10481681138057912</c:v>
                </c:pt>
                <c:pt idx="13">
                  <c:v>0.1064484500420927</c:v>
                </c:pt>
                <c:pt idx="14">
                  <c:v>9.818438156902215E-2</c:v>
                </c:pt>
                <c:pt idx="15">
                  <c:v>9.1148267406857886E-2</c:v>
                </c:pt>
                <c:pt idx="16">
                  <c:v>9.1334487252688182E-2</c:v>
                </c:pt>
                <c:pt idx="17">
                  <c:v>0.11992249696012725</c:v>
                </c:pt>
                <c:pt idx="18">
                  <c:v>8.6412092850833719E-2</c:v>
                </c:pt>
                <c:pt idx="19">
                  <c:v>0.10971622890880858</c:v>
                </c:pt>
                <c:pt idx="20">
                  <c:v>0.10984422175640959</c:v>
                </c:pt>
              </c:numCache>
            </c:numRef>
          </c:val>
          <c:smooth val="0"/>
          <c:extLst>
            <c:ext xmlns:c16="http://schemas.microsoft.com/office/drawing/2014/chart" uri="{C3380CC4-5D6E-409C-BE32-E72D297353CC}">
              <c16:uniqueId val="{00000002-73D4-454C-879A-19A036FB15A9}"/>
            </c:ext>
          </c:extLst>
        </c:ser>
        <c:dLbls>
          <c:showLegendKey val="0"/>
          <c:showVal val="0"/>
          <c:showCatName val="0"/>
          <c:showSerName val="0"/>
          <c:showPercent val="0"/>
          <c:showBubbleSize val="0"/>
        </c:dLbls>
        <c:marker val="1"/>
        <c:smooth val="0"/>
        <c:axId val="2024793607"/>
        <c:axId val="2024796167"/>
      </c:lineChart>
      <c:catAx>
        <c:axId val="2024793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96167"/>
        <c:crosses val="autoZero"/>
        <c:auto val="1"/>
        <c:lblAlgn val="ctr"/>
        <c:lblOffset val="100"/>
        <c:noMultiLvlLbl val="0"/>
      </c:catAx>
      <c:valAx>
        <c:axId val="202479616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93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Driver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Validation'!$T$4:$T$10</c:f>
              <c:strCache>
                <c:ptCount val="7"/>
                <c:pt idx="0">
                  <c:v>18-24</c:v>
                </c:pt>
                <c:pt idx="1">
                  <c:v>25-34</c:v>
                </c:pt>
                <c:pt idx="2">
                  <c:v>35-44</c:v>
                </c:pt>
                <c:pt idx="3">
                  <c:v>45-54</c:v>
                </c:pt>
                <c:pt idx="4">
                  <c:v>55-64</c:v>
                </c:pt>
                <c:pt idx="5">
                  <c:v>65-74</c:v>
                </c:pt>
                <c:pt idx="6">
                  <c:v>75+</c:v>
                </c:pt>
              </c:strCache>
            </c:strRef>
          </c:cat>
          <c:val>
            <c:numRef>
              <c:f>'Model Validation'!$V$4:$V$10</c:f>
              <c:numCache>
                <c:formatCode>_(* #,##0.0000_);_(* \(#,##0.0000\);_(* "-"??_);_(@_)</c:formatCode>
                <c:ptCount val="7"/>
                <c:pt idx="0">
                  <c:v>393.08546799999999</c:v>
                </c:pt>
                <c:pt idx="1">
                  <c:v>153.655483</c:v>
                </c:pt>
                <c:pt idx="2">
                  <c:v>198.729828</c:v>
                </c:pt>
                <c:pt idx="3">
                  <c:v>148.34169399999999</c:v>
                </c:pt>
                <c:pt idx="4">
                  <c:v>105.79082200000001</c:v>
                </c:pt>
                <c:pt idx="5">
                  <c:v>96.758348999999995</c:v>
                </c:pt>
                <c:pt idx="6">
                  <c:v>307.63747999999998</c:v>
                </c:pt>
              </c:numCache>
            </c:numRef>
          </c:val>
          <c:smooth val="0"/>
          <c:extLst>
            <c:ext xmlns:c16="http://schemas.microsoft.com/office/drawing/2014/chart" uri="{C3380CC4-5D6E-409C-BE32-E72D297353CC}">
              <c16:uniqueId val="{00000000-0F95-4C01-91E5-15B103D2C2DA}"/>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Validation'!$T$4:$T$10</c:f>
              <c:strCache>
                <c:ptCount val="7"/>
                <c:pt idx="0">
                  <c:v>18-24</c:v>
                </c:pt>
                <c:pt idx="1">
                  <c:v>25-34</c:v>
                </c:pt>
                <c:pt idx="2">
                  <c:v>35-44</c:v>
                </c:pt>
                <c:pt idx="3">
                  <c:v>45-54</c:v>
                </c:pt>
                <c:pt idx="4">
                  <c:v>55-64</c:v>
                </c:pt>
                <c:pt idx="5">
                  <c:v>65-74</c:v>
                </c:pt>
                <c:pt idx="6">
                  <c:v>75+</c:v>
                </c:pt>
              </c:strCache>
            </c:strRef>
          </c:cat>
          <c:val>
            <c:numRef>
              <c:f>'Model Validation'!$W$4:$W$10</c:f>
              <c:numCache>
                <c:formatCode>_(* #,##0.0000_);_(* \(#,##0.0000\);_(* "-"??_);_(@_)</c:formatCode>
                <c:ptCount val="7"/>
                <c:pt idx="0">
                  <c:v>281.02119599999997</c:v>
                </c:pt>
                <c:pt idx="1">
                  <c:v>202.47292999999999</c:v>
                </c:pt>
                <c:pt idx="2">
                  <c:v>163.33264199999999</c:v>
                </c:pt>
                <c:pt idx="3">
                  <c:v>162.69462799999999</c:v>
                </c:pt>
                <c:pt idx="4">
                  <c:v>171.63234700000001</c:v>
                </c:pt>
                <c:pt idx="5">
                  <c:v>179.140548</c:v>
                </c:pt>
                <c:pt idx="6">
                  <c:v>184.16637900000001</c:v>
                </c:pt>
              </c:numCache>
            </c:numRef>
          </c:val>
          <c:smooth val="0"/>
          <c:extLst>
            <c:ext xmlns:c16="http://schemas.microsoft.com/office/drawing/2014/chart" uri="{C3380CC4-5D6E-409C-BE32-E72D297353CC}">
              <c16:uniqueId val="{00000002-0F95-4C01-91E5-15B103D2C2DA}"/>
            </c:ext>
          </c:extLst>
        </c:ser>
        <c:dLbls>
          <c:showLegendKey val="0"/>
          <c:showVal val="0"/>
          <c:showCatName val="0"/>
          <c:showSerName val="0"/>
          <c:showPercent val="0"/>
          <c:showBubbleSize val="0"/>
        </c:dLbls>
        <c:marker val="1"/>
        <c:smooth val="0"/>
        <c:axId val="2043527687"/>
        <c:axId val="2044567047"/>
      </c:lineChart>
      <c:catAx>
        <c:axId val="2043527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67047"/>
        <c:crosses val="autoZero"/>
        <c:auto val="1"/>
        <c:lblAlgn val="ctr"/>
        <c:lblOffset val="100"/>
        <c:noMultiLvlLbl val="0"/>
      </c:catAx>
      <c:valAx>
        <c:axId val="20445670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527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Bonus Malus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Validation'!$T$13:$T$18</c:f>
              <c:strCache>
                <c:ptCount val="6"/>
                <c:pt idx="0">
                  <c:v>&lt;80</c:v>
                </c:pt>
                <c:pt idx="1">
                  <c:v>80 - 99</c:v>
                </c:pt>
                <c:pt idx="2">
                  <c:v>100 - 119</c:v>
                </c:pt>
                <c:pt idx="3">
                  <c:v>120 - 139</c:v>
                </c:pt>
                <c:pt idx="4">
                  <c:v>140 - 159</c:v>
                </c:pt>
                <c:pt idx="5">
                  <c:v>160+</c:v>
                </c:pt>
              </c:strCache>
            </c:strRef>
          </c:cat>
          <c:val>
            <c:numRef>
              <c:f>'Model Validation'!$V$13:$V$18</c:f>
              <c:numCache>
                <c:formatCode>_(* #,##0.0000_);_(* \(#,##0.0000\);_(* "-"??_);_(@_)</c:formatCode>
                <c:ptCount val="6"/>
                <c:pt idx="0">
                  <c:v>147.527725</c:v>
                </c:pt>
                <c:pt idx="1">
                  <c:v>212.945044</c:v>
                </c:pt>
                <c:pt idx="2">
                  <c:v>570.46180900000002</c:v>
                </c:pt>
                <c:pt idx="3">
                  <c:v>713.36228500000004</c:v>
                </c:pt>
                <c:pt idx="4">
                  <c:v>1730.9231259999999</c:v>
                </c:pt>
                <c:pt idx="5">
                  <c:v>1059.211268</c:v>
                </c:pt>
              </c:numCache>
            </c:numRef>
          </c:val>
          <c:smooth val="0"/>
          <c:extLst>
            <c:ext xmlns:c16="http://schemas.microsoft.com/office/drawing/2014/chart" uri="{C3380CC4-5D6E-409C-BE32-E72D297353CC}">
              <c16:uniqueId val="{00000000-72A8-4318-BC82-0F8E5ADFD275}"/>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Validation'!$T$13:$T$18</c:f>
              <c:strCache>
                <c:ptCount val="6"/>
                <c:pt idx="0">
                  <c:v>&lt;80</c:v>
                </c:pt>
                <c:pt idx="1">
                  <c:v>80 - 99</c:v>
                </c:pt>
                <c:pt idx="2">
                  <c:v>100 - 119</c:v>
                </c:pt>
                <c:pt idx="3">
                  <c:v>120 - 139</c:v>
                </c:pt>
                <c:pt idx="4">
                  <c:v>140 - 159</c:v>
                </c:pt>
                <c:pt idx="5">
                  <c:v>160+</c:v>
                </c:pt>
              </c:strCache>
            </c:strRef>
          </c:cat>
          <c:val>
            <c:numRef>
              <c:f>'Model Validation'!$W$13:$W$18</c:f>
              <c:numCache>
                <c:formatCode>_(* #,##0.0000_);_(* \(#,##0.0000\);_(* "-"??_);_(@_)</c:formatCode>
                <c:ptCount val="6"/>
                <c:pt idx="0">
                  <c:v>158.43700100000001</c:v>
                </c:pt>
                <c:pt idx="1">
                  <c:v>338.47987999999998</c:v>
                </c:pt>
                <c:pt idx="2">
                  <c:v>517.694929</c:v>
                </c:pt>
                <c:pt idx="3">
                  <c:v>852.82909099999995</c:v>
                </c:pt>
                <c:pt idx="4">
                  <c:v>1544.985797</c:v>
                </c:pt>
                <c:pt idx="5">
                  <c:v>3895.1178070000001</c:v>
                </c:pt>
              </c:numCache>
            </c:numRef>
          </c:val>
          <c:smooth val="0"/>
          <c:extLst>
            <c:ext xmlns:c16="http://schemas.microsoft.com/office/drawing/2014/chart" uri="{C3380CC4-5D6E-409C-BE32-E72D297353CC}">
              <c16:uniqueId val="{00000002-72A8-4318-BC82-0F8E5ADFD275}"/>
            </c:ext>
          </c:extLst>
        </c:ser>
        <c:dLbls>
          <c:showLegendKey val="0"/>
          <c:showVal val="0"/>
          <c:showCatName val="0"/>
          <c:showSerName val="0"/>
          <c:showPercent val="0"/>
          <c:showBubbleSize val="0"/>
        </c:dLbls>
        <c:marker val="1"/>
        <c:smooth val="0"/>
        <c:axId val="356648968"/>
        <c:axId val="2043330567"/>
      </c:lineChart>
      <c:catAx>
        <c:axId val="356648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30567"/>
        <c:crosses val="autoZero"/>
        <c:auto val="1"/>
        <c:lblAlgn val="ctr"/>
        <c:lblOffset val="100"/>
        <c:noMultiLvlLbl val="0"/>
      </c:catAx>
      <c:valAx>
        <c:axId val="20433305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648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Predicted Loss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'Model Validation'!$T$36:$T$56</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Validation'!$V$36:$V$56</c:f>
              <c:numCache>
                <c:formatCode>_(* #,##0.0000_);_(* \(#,##0.0000\);_(* "-"??_);_(@_)</c:formatCode>
                <c:ptCount val="21"/>
                <c:pt idx="0">
                  <c:v>106.22532099999999</c:v>
                </c:pt>
                <c:pt idx="1">
                  <c:v>190.31607</c:v>
                </c:pt>
                <c:pt idx="2">
                  <c:v>57.449886999999997</c:v>
                </c:pt>
                <c:pt idx="3">
                  <c:v>150.03069199999999</c:v>
                </c:pt>
                <c:pt idx="4">
                  <c:v>124.326168</c:v>
                </c:pt>
                <c:pt idx="5">
                  <c:v>113.88511699999999</c:v>
                </c:pt>
                <c:pt idx="6">
                  <c:v>126.178206</c:v>
                </c:pt>
                <c:pt idx="7">
                  <c:v>1785.4913879999999</c:v>
                </c:pt>
                <c:pt idx="8">
                  <c:v>118.75022800000001</c:v>
                </c:pt>
                <c:pt idx="9">
                  <c:v>77.729795999999993</c:v>
                </c:pt>
                <c:pt idx="10">
                  <c:v>110.427183</c:v>
                </c:pt>
                <c:pt idx="11">
                  <c:v>177.36219299999999</c:v>
                </c:pt>
                <c:pt idx="12">
                  <c:v>110.929131</c:v>
                </c:pt>
                <c:pt idx="13">
                  <c:v>159.59840500000001</c:v>
                </c:pt>
                <c:pt idx="14">
                  <c:v>70.145672000000005</c:v>
                </c:pt>
                <c:pt idx="15">
                  <c:v>142.54838799999999</c:v>
                </c:pt>
                <c:pt idx="16">
                  <c:v>107.415215</c:v>
                </c:pt>
                <c:pt idx="17">
                  <c:v>404.26072799999997</c:v>
                </c:pt>
                <c:pt idx="18">
                  <c:v>115.588688</c:v>
                </c:pt>
                <c:pt idx="19">
                  <c:v>247.647535</c:v>
                </c:pt>
                <c:pt idx="20">
                  <c:v>251.90574899999999</c:v>
                </c:pt>
              </c:numCache>
            </c:numRef>
          </c:val>
          <c:smooth val="0"/>
          <c:extLst>
            <c:ext xmlns:c16="http://schemas.microsoft.com/office/drawing/2014/chart" uri="{C3380CC4-5D6E-409C-BE32-E72D297353CC}">
              <c16:uniqueId val="{00000000-4146-4941-997B-F8B841512D57}"/>
            </c:ext>
          </c:extLst>
        </c:ser>
        <c:ser>
          <c:idx val="1"/>
          <c:order val="1"/>
          <c:tx>
            <c:v>Predicted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Validation'!$T$36:$T$56</c:f>
              <c:strCache>
                <c:ptCount val="21"/>
                <c:pt idx="0">
                  <c:v>Alsace</c:v>
                </c:pt>
                <c:pt idx="1">
                  <c:v>Aquitaine</c:v>
                </c:pt>
                <c:pt idx="2">
                  <c:v>Auvergne</c:v>
                </c:pt>
                <c:pt idx="3">
                  <c:v>Basse-Normandie</c:v>
                </c:pt>
                <c:pt idx="4">
                  <c:v>Bourgogne</c:v>
                </c:pt>
                <c:pt idx="5">
                  <c:v>Bretagne</c:v>
                </c:pt>
                <c:pt idx="6">
                  <c:v>Centre</c:v>
                </c:pt>
                <c:pt idx="7">
                  <c:v>Champagne-Ardenne</c:v>
                </c:pt>
                <c:pt idx="8">
                  <c:v>Corse</c:v>
                </c:pt>
                <c:pt idx="9">
                  <c:v>Franche-Comte</c:v>
                </c:pt>
                <c:pt idx="10">
                  <c:v>Haute-Normandie</c:v>
                </c:pt>
                <c:pt idx="11">
                  <c:v>Ile-de-France</c:v>
                </c:pt>
                <c:pt idx="12">
                  <c:v>Languedoc-Roussillon</c:v>
                </c:pt>
                <c:pt idx="13">
                  <c:v>Limousin</c:v>
                </c:pt>
                <c:pt idx="14">
                  <c:v>Midi-Pyrenees</c:v>
                </c:pt>
                <c:pt idx="15">
                  <c:v>Nord-Pas-de-Calais</c:v>
                </c:pt>
                <c:pt idx="16">
                  <c:v>Pays-de-la-Loire</c:v>
                </c:pt>
                <c:pt idx="17">
                  <c:v>Picardie</c:v>
                </c:pt>
                <c:pt idx="18">
                  <c:v>Poitou-Charentes</c:v>
                </c:pt>
                <c:pt idx="19">
                  <c:v>Provence-Alpes-Cotes-D'Azur</c:v>
                </c:pt>
                <c:pt idx="20">
                  <c:v>Rhone-Alpes</c:v>
                </c:pt>
              </c:strCache>
            </c:strRef>
          </c:cat>
          <c:val>
            <c:numRef>
              <c:f>'Model Validation'!$W$36:$W$56</c:f>
              <c:numCache>
                <c:formatCode>_(* #,##0.0000_);_(* \(#,##0.0000\);_(* "-"??_);_(@_)</c:formatCode>
                <c:ptCount val="21"/>
                <c:pt idx="0">
                  <c:v>184.30373800000001</c:v>
                </c:pt>
                <c:pt idx="1">
                  <c:v>210.984791</c:v>
                </c:pt>
                <c:pt idx="2">
                  <c:v>79.921709000000007</c:v>
                </c:pt>
                <c:pt idx="3">
                  <c:v>184.197562</c:v>
                </c:pt>
                <c:pt idx="4">
                  <c:v>237.78838999999999</c:v>
                </c:pt>
                <c:pt idx="5">
                  <c:v>142.13219699999999</c:v>
                </c:pt>
                <c:pt idx="6">
                  <c:v>157.324501</c:v>
                </c:pt>
                <c:pt idx="7">
                  <c:v>351.71442300000001</c:v>
                </c:pt>
                <c:pt idx="8">
                  <c:v>282.14218</c:v>
                </c:pt>
                <c:pt idx="9">
                  <c:v>147.53750700000001</c:v>
                </c:pt>
                <c:pt idx="10">
                  <c:v>179.95324600000001</c:v>
                </c:pt>
                <c:pt idx="11">
                  <c:v>252.15437499999999</c:v>
                </c:pt>
                <c:pt idx="12">
                  <c:v>241.427459</c:v>
                </c:pt>
                <c:pt idx="13">
                  <c:v>124.331458</c:v>
                </c:pt>
                <c:pt idx="14">
                  <c:v>124.901363</c:v>
                </c:pt>
                <c:pt idx="15">
                  <c:v>195.36446100000001</c:v>
                </c:pt>
                <c:pt idx="16">
                  <c:v>124.116619</c:v>
                </c:pt>
                <c:pt idx="17">
                  <c:v>172.29565700000001</c:v>
                </c:pt>
                <c:pt idx="18">
                  <c:v>123.47526499999999</c:v>
                </c:pt>
                <c:pt idx="19">
                  <c:v>253.27804499999999</c:v>
                </c:pt>
                <c:pt idx="20">
                  <c:v>191.27255600000001</c:v>
                </c:pt>
              </c:numCache>
            </c:numRef>
          </c:val>
          <c:smooth val="0"/>
          <c:extLst>
            <c:ext xmlns:c16="http://schemas.microsoft.com/office/drawing/2014/chart" uri="{C3380CC4-5D6E-409C-BE32-E72D297353CC}">
              <c16:uniqueId val="{00000002-4146-4941-997B-F8B841512D57}"/>
            </c:ext>
          </c:extLst>
        </c:ser>
        <c:dLbls>
          <c:showLegendKey val="0"/>
          <c:showVal val="0"/>
          <c:showCatName val="0"/>
          <c:showSerName val="0"/>
          <c:showPercent val="0"/>
          <c:showBubbleSize val="0"/>
        </c:dLbls>
        <c:marker val="1"/>
        <c:smooth val="0"/>
        <c:axId val="2045731335"/>
        <c:axId val="2045743623"/>
      </c:lineChart>
      <c:catAx>
        <c:axId val="2045731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43623"/>
        <c:crosses val="autoZero"/>
        <c:auto val="1"/>
        <c:lblAlgn val="ctr"/>
        <c:lblOffset val="100"/>
        <c:noMultiLvlLbl val="0"/>
      </c:catAx>
      <c:valAx>
        <c:axId val="2045743623"/>
        <c:scaling>
          <c:orientation val="minMax"/>
        </c:scaling>
        <c:delete val="0"/>
        <c:axPos val="l"/>
        <c:majorGridlines>
          <c:spPr>
            <a:ln w="9525" cap="flat" cmpd="sng" algn="ctr">
              <a:solidFill>
                <a:schemeClr val="tx1">
                  <a:lumMod val="15000"/>
                  <a:lumOff val="85000"/>
                </a:schemeClr>
              </a:solidFill>
              <a:round/>
            </a:ln>
            <a:effectLst/>
          </c:spPr>
        </c:majorGridlines>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31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57150</xdr:colOff>
      <xdr:row>11</xdr:row>
      <xdr:rowOff>9525</xdr:rowOff>
    </xdr:from>
    <xdr:to>
      <xdr:col>5</xdr:col>
      <xdr:colOff>514350</xdr:colOff>
      <xdr:row>21</xdr:row>
      <xdr:rowOff>161925</xdr:rowOff>
    </xdr:to>
    <xdr:graphicFrame macro="">
      <xdr:nvGraphicFramePr>
        <xdr:cNvPr id="2" name="Chart 1">
          <a:extLst>
            <a:ext uri="{FF2B5EF4-FFF2-40B4-BE49-F238E27FC236}">
              <a16:creationId xmlns:a16="http://schemas.microsoft.com/office/drawing/2014/main" id="{E9A496D8-DAD5-4493-ADE1-B3B58ED57A4D}"/>
            </a:ext>
            <a:ext uri="{147F2762-F138-4A5C-976F-8EAC2B608ADB}">
              <a16:predDERef xmlns:a16="http://schemas.microsoft.com/office/drawing/2014/main" pred="{913D5DA0-A334-B5E9-4344-B7C7B7B3E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23</xdr:row>
      <xdr:rowOff>9525</xdr:rowOff>
    </xdr:from>
    <xdr:to>
      <xdr:col>5</xdr:col>
      <xdr:colOff>590550</xdr:colOff>
      <xdr:row>35</xdr:row>
      <xdr:rowOff>133350</xdr:rowOff>
    </xdr:to>
    <xdr:graphicFrame macro="">
      <xdr:nvGraphicFramePr>
        <xdr:cNvPr id="3" name="Chart 2">
          <a:extLst>
            <a:ext uri="{FF2B5EF4-FFF2-40B4-BE49-F238E27FC236}">
              <a16:creationId xmlns:a16="http://schemas.microsoft.com/office/drawing/2014/main" id="{EED39CA2-B396-4E98-B9F3-6EE4740C5E05}"/>
            </a:ext>
            <a:ext uri="{147F2762-F138-4A5C-976F-8EAC2B608ADB}">
              <a16:predDERef xmlns:a16="http://schemas.microsoft.com/office/drawing/2014/main" pred="{E9A496D8-DAD5-4493-ADE1-B3B58ED57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5</xdr:col>
      <xdr:colOff>600075</xdr:colOff>
      <xdr:row>49</xdr:row>
      <xdr:rowOff>123825</xdr:rowOff>
    </xdr:to>
    <xdr:graphicFrame macro="">
      <xdr:nvGraphicFramePr>
        <xdr:cNvPr id="4" name="Chart 3">
          <a:extLst>
            <a:ext uri="{FF2B5EF4-FFF2-40B4-BE49-F238E27FC236}">
              <a16:creationId xmlns:a16="http://schemas.microsoft.com/office/drawing/2014/main" id="{080A726E-2723-4CFF-868B-9AAF993AE420}"/>
            </a:ext>
            <a:ext uri="{147F2762-F138-4A5C-976F-8EAC2B608ADB}">
              <a16:predDERef xmlns:a16="http://schemas.microsoft.com/office/drawing/2014/main" pred="{EED39CA2-B396-4E98-B9F3-6EE4740C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0</xdr:row>
      <xdr:rowOff>180975</xdr:rowOff>
    </xdr:from>
    <xdr:to>
      <xdr:col>10</xdr:col>
      <xdr:colOff>219075</xdr:colOff>
      <xdr:row>15</xdr:row>
      <xdr:rowOff>66675</xdr:rowOff>
    </xdr:to>
    <xdr:graphicFrame macro="">
      <xdr:nvGraphicFramePr>
        <xdr:cNvPr id="2" name="Chart 1">
          <a:extLst>
            <a:ext uri="{FF2B5EF4-FFF2-40B4-BE49-F238E27FC236}">
              <a16:creationId xmlns:a16="http://schemas.microsoft.com/office/drawing/2014/main" id="{CB653B8E-9796-CC0D-FFB7-674A430D8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352425</xdr:colOff>
      <xdr:row>0</xdr:row>
      <xdr:rowOff>47625</xdr:rowOff>
    </xdr:from>
    <xdr:to>
      <xdr:col>14</xdr:col>
      <xdr:colOff>504825</xdr:colOff>
      <xdr:row>14</xdr:row>
      <xdr:rowOff>114300</xdr:rowOff>
    </xdr:to>
    <xdr:graphicFrame macro="">
      <xdr:nvGraphicFramePr>
        <xdr:cNvPr id="4" name="Chart 3">
          <a:extLst>
            <a:ext uri="{FF2B5EF4-FFF2-40B4-BE49-F238E27FC236}">
              <a16:creationId xmlns:a16="http://schemas.microsoft.com/office/drawing/2014/main" id="{8A100992-72FE-C3F8-BB40-4344F188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17</xdr:row>
      <xdr:rowOff>0</xdr:rowOff>
    </xdr:from>
    <xdr:to>
      <xdr:col>14</xdr:col>
      <xdr:colOff>476250</xdr:colOff>
      <xdr:row>31</xdr:row>
      <xdr:rowOff>9525</xdr:rowOff>
    </xdr:to>
    <xdr:graphicFrame macro="">
      <xdr:nvGraphicFramePr>
        <xdr:cNvPr id="5" name="Chart 4">
          <a:extLst>
            <a:ext uri="{FF2B5EF4-FFF2-40B4-BE49-F238E27FC236}">
              <a16:creationId xmlns:a16="http://schemas.microsoft.com/office/drawing/2014/main" id="{06189994-A30B-3B3E-AE2F-C42F67070D19}"/>
            </a:ext>
            <a:ext uri="{147F2762-F138-4A5C-976F-8EAC2B608ADB}">
              <a16:predDERef xmlns:a16="http://schemas.microsoft.com/office/drawing/2014/main" pred="{8A100992-72FE-C3F8-BB40-4344F188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981075</xdr:colOff>
      <xdr:row>36</xdr:row>
      <xdr:rowOff>180975</xdr:rowOff>
    </xdr:from>
    <xdr:to>
      <xdr:col>16</xdr:col>
      <xdr:colOff>466725</xdr:colOff>
      <xdr:row>57</xdr:row>
      <xdr:rowOff>85725</xdr:rowOff>
    </xdr:to>
    <xdr:graphicFrame macro="">
      <xdr:nvGraphicFramePr>
        <xdr:cNvPr id="7" name="Chart 6">
          <a:extLst>
            <a:ext uri="{FF2B5EF4-FFF2-40B4-BE49-F238E27FC236}">
              <a16:creationId xmlns:a16="http://schemas.microsoft.com/office/drawing/2014/main" id="{4ADB8A13-314C-C8CC-C5F0-0327F1F95C97}"/>
            </a:ext>
            <a:ext uri="{147F2762-F138-4A5C-976F-8EAC2B608ADB}">
              <a16:predDERef xmlns:a16="http://schemas.microsoft.com/office/drawing/2014/main" pred="{06189994-A30B-3B3E-AE2F-C42F67070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161925</xdr:colOff>
      <xdr:row>0</xdr:row>
      <xdr:rowOff>19050</xdr:rowOff>
    </xdr:from>
    <xdr:to>
      <xdr:col>33</xdr:col>
      <xdr:colOff>466725</xdr:colOff>
      <xdr:row>14</xdr:row>
      <xdr:rowOff>95250</xdr:rowOff>
    </xdr:to>
    <xdr:graphicFrame macro="">
      <xdr:nvGraphicFramePr>
        <xdr:cNvPr id="8" name="Chart 7">
          <a:extLst>
            <a:ext uri="{FF2B5EF4-FFF2-40B4-BE49-F238E27FC236}">
              <a16:creationId xmlns:a16="http://schemas.microsoft.com/office/drawing/2014/main" id="{8F3AEA12-49D6-C47C-B295-ADD92E7A86AB}"/>
            </a:ext>
            <a:ext uri="{147F2762-F138-4A5C-976F-8EAC2B608ADB}">
              <a16:predDERef xmlns:a16="http://schemas.microsoft.com/office/drawing/2014/main" pred="{4ADB8A13-314C-C8CC-C5F0-0327F1F95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390525</xdr:colOff>
      <xdr:row>15</xdr:row>
      <xdr:rowOff>123825</xdr:rowOff>
    </xdr:from>
    <xdr:to>
      <xdr:col>33</xdr:col>
      <xdr:colOff>85725</xdr:colOff>
      <xdr:row>30</xdr:row>
      <xdr:rowOff>9525</xdr:rowOff>
    </xdr:to>
    <xdr:graphicFrame macro="">
      <xdr:nvGraphicFramePr>
        <xdr:cNvPr id="9" name="Chart 8">
          <a:extLst>
            <a:ext uri="{FF2B5EF4-FFF2-40B4-BE49-F238E27FC236}">
              <a16:creationId xmlns:a16="http://schemas.microsoft.com/office/drawing/2014/main" id="{7951779D-CB4F-0938-0AFB-118F3F2E2A44}"/>
            </a:ext>
            <a:ext uri="{147F2762-F138-4A5C-976F-8EAC2B608ADB}">
              <a16:predDERef xmlns:a16="http://schemas.microsoft.com/office/drawing/2014/main" pred="{8F3AEA12-49D6-C47C-B295-ADD92E7A8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590550</xdr:colOff>
      <xdr:row>34</xdr:row>
      <xdr:rowOff>180975</xdr:rowOff>
    </xdr:from>
    <xdr:to>
      <xdr:col>36</xdr:col>
      <xdr:colOff>276225</xdr:colOff>
      <xdr:row>55</xdr:row>
      <xdr:rowOff>114300</xdr:rowOff>
    </xdr:to>
    <xdr:graphicFrame macro="">
      <xdr:nvGraphicFramePr>
        <xdr:cNvPr id="10" name="Chart 9">
          <a:extLst>
            <a:ext uri="{FF2B5EF4-FFF2-40B4-BE49-F238E27FC236}">
              <a16:creationId xmlns:a16="http://schemas.microsoft.com/office/drawing/2014/main" id="{913D5DA0-A334-B5E9-4344-B7C7B7B3EF71}"/>
            </a:ext>
            <a:ext uri="{147F2762-F138-4A5C-976F-8EAC2B608ADB}">
              <a16:predDERef xmlns:a16="http://schemas.microsoft.com/office/drawing/2014/main" pred="{7951779D-CB4F-0938-0AFB-118F3F2E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8AA6D3-2C99-4A2A-993D-D921D4081038}" name="Table1" displayName="Table1" ref="A1:B10" totalsRowShown="0">
  <autoFilter ref="A1:B10" xr:uid="{168AA6D3-2C99-4A2A-993D-D921D4081038}"/>
  <tableColumns count="2">
    <tableColumn id="1" xr3:uid="{80B804F5-338D-4F23-AE84-39E10F9657CD}" name="Metric"/>
    <tableColumn id="2" xr3:uid="{017C18DC-7AA7-4A02-B9F1-E3091050BF1E}"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43372F-CFED-4018-98B3-7F941010C4D5}" name="Table2" displayName="Table2" ref="D2:E10" totalsRowShown="0">
  <autoFilter ref="D2:E10" xr:uid="{4043372F-CFED-4018-98B3-7F941010C4D5}"/>
  <tableColumns count="2">
    <tableColumn id="1" xr3:uid="{84937C58-7B74-48C0-B527-55DB93084828}" name="Metric"/>
    <tableColumn id="2" xr3:uid="{EF496B48-C78B-4479-BEBF-D4E6E21FD741}"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F6DBB2-82D1-4F11-9ADD-5ADAB8F664C5}" name="Table3" displayName="Table3" ref="A1:E8" totalsRowShown="0" headerRowDxfId="149" dataDxfId="148">
  <autoFilter ref="A1:E8" xr:uid="{1BF6DBB2-82D1-4F11-9ADD-5ADAB8F664C5}"/>
  <tableColumns count="5">
    <tableColumn id="1" xr3:uid="{EAA09EB2-E68D-4246-9F31-947346AB76A3}" name="Driver Age" dataDxfId="147"/>
    <tableColumn id="2" xr3:uid="{352331A7-C87A-4B96-B102-8A524F8B1533}" name="Policies" dataDxfId="146"/>
    <tableColumn id="3" xr3:uid="{54E78F89-0BB0-4AEA-9AFE-49A6919A9520}" name="Exposure" dataDxfId="145"/>
    <tableColumn id="4" xr3:uid="{A9C1ECC2-1400-4E24-9CE4-7BCCFEEF25E1}" name="Claims" dataDxfId="144"/>
    <tableColumn id="5" xr3:uid="{81DD1652-EABA-463D-B73F-A03A59B2B4FB}" name="Frequency" dataDxfId="143">
      <calculatedColumnFormula>D2/C2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D4529F-725D-4A73-A5A3-FD6A4955DED6}" name="Table4" displayName="Table4" ref="G1:K7" totalsRowShown="0">
  <autoFilter ref="G1:K7" xr:uid="{45D4529F-725D-4A73-A5A3-FD6A4955DED6}"/>
  <tableColumns count="5">
    <tableColumn id="1" xr3:uid="{7AD8BA16-0CE2-4600-B2D0-3D97EBB90CBA}" name="Bonus-Malus"/>
    <tableColumn id="2" xr3:uid="{84329670-1622-4516-A569-A705852E3AC4}" name="Policies"/>
    <tableColumn id="3" xr3:uid="{BD4D1FD0-80F8-458A-B14B-7E4E917DACDE}" name="Exposure"/>
    <tableColumn id="4" xr3:uid="{0CFA8CBE-4880-49FB-9D6C-4A858A1E0B5A}" name="Claims"/>
    <tableColumn id="5" xr3:uid="{F4536016-E747-412A-A8C0-A9C27A4F812F}" name="Frequency" dataDxfId="142">
      <calculatedColumnFormula>Table4[[#This Row],[Claims]]/Table4[[#This Row],[Exposure]]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13FB65-E854-4943-9CE3-CC15041666D4}" name="Table36" displayName="Table36" ref="A2:G9" totalsRowShown="0" headerRowDxfId="141" dataDxfId="140">
  <autoFilter ref="A2:G9" xr:uid="{6913FB65-E854-4943-9CE3-CC15041666D4}"/>
  <tableColumns count="7">
    <tableColumn id="1" xr3:uid="{15A28319-3692-409D-8C7A-3826BB0FA8D7}" name="Driver Age" dataDxfId="139"/>
    <tableColumn id="2" xr3:uid="{B3384B28-571D-405F-A760-0CFC72F039CC}" name="Policies" dataDxfId="138"/>
    <tableColumn id="3" xr3:uid="{77B9D00F-9A13-4E07-9B53-51B88AF8B3B0}" name="Exposure" dataDxfId="137"/>
    <tableColumn id="4" xr3:uid="{7C32AD0F-732F-44F1-939F-DC4C0F6ACECF}" name="Claims" dataDxfId="136"/>
    <tableColumn id="5" xr3:uid="{23769CF8-572D-477D-8FC5-CE89B4A3FA30}" name="Frequency" dataDxfId="135">
      <calculatedColumnFormula>D3/C3</calculatedColumnFormula>
    </tableColumn>
    <tableColumn id="6" xr3:uid="{60788881-D540-4C8A-8D1A-BCB72DD80253}" name="Claim Amount" dataDxfId="134"/>
    <tableColumn id="7" xr3:uid="{D699260D-BB5F-4E1C-AE2B-ECF2A73D250B}" name="Loss Cost" dataDxfId="13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A4FE52-31BE-456F-84C1-03BC24C71DD2}" name="Table7" displayName="Table7" ref="I2:O7" totalsRowShown="0">
  <autoFilter ref="I2:O7" xr:uid="{30A4FE52-31BE-456F-84C1-03BC24C71DD2}"/>
  <tableColumns count="7">
    <tableColumn id="1" xr3:uid="{369C84E9-7299-451C-9653-B4A1A62D7B1C}" name="Vehicle Age"/>
    <tableColumn id="2" xr3:uid="{B0B5B3D3-6AA3-4DC1-94AD-3224E79C7C65}" name="Policies" dataDxfId="132"/>
    <tableColumn id="3" xr3:uid="{2680AC59-FC52-4A03-940C-FA07389F752C}" name="Exposure" dataDxfId="131"/>
    <tableColumn id="4" xr3:uid="{E3265B12-8267-467D-A8A2-034E5586A5AA}" name="Claims" dataDxfId="130"/>
    <tableColumn id="5" xr3:uid="{E96330B5-DEDB-4075-978B-AEDD5E31EA8B}" name="Frequency" dataDxfId="129">
      <calculatedColumnFormula>Table7[[#This Row],[Claims]]/Table7[[#This Row],[Exposure]]</calculatedColumnFormula>
    </tableColumn>
    <tableColumn id="6" xr3:uid="{27D9EC60-DC8A-4075-A373-156C96BF2E18}" name="Claim Amount" dataDxfId="128"/>
    <tableColumn id="7" xr3:uid="{648B1955-2C6D-440F-B314-9A9272FA61B2}" name="Loss Cost" dataDxfId="127">
      <calculatedColumnFormula>Table7[[#This Row],[Claim Amount]]/Table7[[#This Row],[Exposure]]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D7E53E1-025F-4911-BC7A-E8302767858D}" name="Table79" displayName="Table79" ref="Q2:W8" totalsRowShown="0">
  <autoFilter ref="Q2:W8" xr:uid="{ED7E53E1-025F-4911-BC7A-E8302767858D}"/>
  <tableColumns count="7">
    <tableColumn id="1" xr3:uid="{34BFD5E8-5F77-4693-822A-0E0DD482045D}" name="Bonus-Malus"/>
    <tableColumn id="2" xr3:uid="{0781B7C7-AFC6-486D-8902-E65A89632E26}" name="Policies" dataDxfId="126"/>
    <tableColumn id="3" xr3:uid="{81F31458-CC36-4F6D-B817-95A5403DA7ED}" name="Exposure" dataDxfId="125"/>
    <tableColumn id="4" xr3:uid="{11174E62-3756-4420-A0B0-13D4F705A2AD}" name="Claims" dataDxfId="124"/>
    <tableColumn id="5" xr3:uid="{630FD0C6-7E6F-451B-879C-BE304BFB9C7A}" name="Frequency" dataDxfId="123">
      <calculatedColumnFormula>Table79[[#This Row],[Claims]]/Table79[[#This Row],[Exposure]]</calculatedColumnFormula>
    </tableColumn>
    <tableColumn id="6" xr3:uid="{91B9F131-5E34-4017-ACD7-683F98BB5C3B}" name="Claim Amount" dataDxfId="122"/>
    <tableColumn id="7" xr3:uid="{6862AC23-2131-4ECD-AC2D-230E8FC3F3E6}" name="Loss Cost" dataDxfId="121">
      <calculatedColumnFormula>Table79[[#This Row],[Claim Amount]]/Table79[[#This Row],[Exposure]]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D03E34-0C30-4810-99B7-AEBA30C20751}" name="Table797" displayName="Table797" ref="Y2:AE8" totalsRowShown="0">
  <autoFilter ref="Y2:AE8" xr:uid="{1CD03E34-0C30-4810-99B7-AEBA30C20751}"/>
  <tableColumns count="7">
    <tableColumn id="1" xr3:uid="{5DB0DB1D-8D79-4818-9CD2-8F6CC72DBF85}" name="Area"/>
    <tableColumn id="2" xr3:uid="{83D5EF9B-569C-4FFB-8758-074C65E516E8}" name="Policies" dataDxfId="120"/>
    <tableColumn id="3" xr3:uid="{B413B3A2-EB70-45F5-A786-74F5812D7B4D}" name="Exposure" dataDxfId="119"/>
    <tableColumn id="4" xr3:uid="{740B3441-7202-4106-87C9-4A5E2D7AC03D}" name="Claims" dataDxfId="118"/>
    <tableColumn id="5" xr3:uid="{9A3B1BF9-B446-4F6C-8795-425DD9FAA6C4}" name="Frequency" dataDxfId="117">
      <calculatedColumnFormula>Table797[[#This Row],[Claims]]/Table797[[#This Row],[Exposure]]</calculatedColumnFormula>
    </tableColumn>
    <tableColumn id="6" xr3:uid="{6824AFF3-9C6E-4917-8CFE-40A32232FE07}" name="Claim Amount" dataDxfId="116"/>
    <tableColumn id="7" xr3:uid="{C05975AC-1EF3-4A4F-BAD9-EBA23F3E82ED}" name="Loss Cost" dataDxfId="115">
      <calculatedColumnFormula>Table797[[#This Row],[Claim Amount]]/Table797[[#This Row],[Exposure]]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60A9FB7-1F4D-4D25-B296-D153DCB44A6D}" name="Table710" displayName="Table710" ref="AG2:AM6" totalsRowShown="0">
  <autoFilter ref="AG2:AM6" xr:uid="{860A9FB7-1F4D-4D25-B296-D153DCB44A6D}"/>
  <tableColumns count="7">
    <tableColumn id="1" xr3:uid="{3394B791-7D43-4823-9576-49F3B2B2F974}" name="Vehicle Power"/>
    <tableColumn id="2" xr3:uid="{3544920C-0932-4E67-99ED-128F84038EE1}" name="Policies" dataDxfId="114"/>
    <tableColumn id="3" xr3:uid="{BC1D9DCC-BF51-4688-BB11-AEF229E9FA2E}" name="Exposure" dataDxfId="113"/>
    <tableColumn id="4" xr3:uid="{3126A148-5108-4356-8069-0FF43B4A4E24}" name="Claims" dataDxfId="112"/>
    <tableColumn id="5" xr3:uid="{6697873D-7EFD-4892-A68B-78FB9B5D0CA0}" name="Frequency" dataDxfId="111">
      <calculatedColumnFormula>Table710[[#This Row],[Claims]]/Table710[[#This Row],[Exposure]]</calculatedColumnFormula>
    </tableColumn>
    <tableColumn id="6" xr3:uid="{975C075C-A12F-43AE-A1CF-DBEEE8FCCC0F}" name="Claim Amount" dataDxfId="110"/>
    <tableColumn id="7" xr3:uid="{7BCB782A-DCF3-4846-A3AA-DECDC2EC9A54}" name="Loss Cost" dataDxfId="109">
      <calculatedColumnFormula>Table710[[#This Row],[Claim Amount]]/Table710[[#This Row],[Exposure]]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942350-2931-43A9-8629-7C1255F6173D}" name="Table79711" displayName="Table79711" ref="AO2:AU8" totalsRowShown="0">
  <autoFilter ref="AO2:AU8" xr:uid="{5F942350-2931-43A9-8629-7C1255F6173D}"/>
  <tableColumns count="7">
    <tableColumn id="1" xr3:uid="{DF86CD06-90E7-4387-8C11-B5004C1B6792}" name="Density"/>
    <tableColumn id="2" xr3:uid="{1D140163-38F5-4056-AD1F-83F9CB37DE88}" name="Policies" dataDxfId="108"/>
    <tableColumn id="3" xr3:uid="{32571CD6-6E56-4ADB-88D2-3B75E8A5FC6C}" name="Exposure" dataDxfId="107"/>
    <tableColumn id="4" xr3:uid="{D47F918C-7703-4CF7-9A54-0D078A1E2D30}" name="Claims" dataDxfId="106"/>
    <tableColumn id="5" xr3:uid="{AACDDA70-57A9-4D78-BED4-C34EB033D79E}" name="Frequency" dataDxfId="105">
      <calculatedColumnFormula>Table79711[[#This Row],[Claims]]/Table79711[[#This Row],[Exposure]]</calculatedColumnFormula>
    </tableColumn>
    <tableColumn id="6" xr3:uid="{D2057443-88E1-473C-922B-0E0E5E90E1A9}" name="Claim Amount" dataDxfId="104"/>
    <tableColumn id="7" xr3:uid="{805706BF-7D5C-42E7-83B4-DAC66891645F}" name="Loss Cost" dataDxfId="103">
      <calculatedColumnFormula>Table79711[[#This Row],[Claim Amount]]/Table79711[[#This Row],[Exposure]]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CC5EB2E-F603-4CD5-B695-8D1D8CDEDCC4}" name="Table7971112" displayName="Table7971112" ref="AW2:BC23" totalsRowShown="0">
  <autoFilter ref="AW2:BC23" xr:uid="{BCC5EB2E-F603-4CD5-B695-8D1D8CDEDCC4}"/>
  <tableColumns count="7">
    <tableColumn id="1" xr3:uid="{3B26F6B5-48B9-4942-95F4-8E3F1FD8CE5D}" name="Region"/>
    <tableColumn id="2" xr3:uid="{D9F4D68B-C7D2-45E4-AF17-52AE43B49671}" name="Policies" dataDxfId="102"/>
    <tableColumn id="3" xr3:uid="{65CC047F-FB49-47CD-8287-26C3E67DE6AB}" name="Exposure" dataDxfId="101"/>
    <tableColumn id="4" xr3:uid="{9DB1F4F1-1D17-40FA-9C19-03EA708E4958}" name="Claims" dataDxfId="100"/>
    <tableColumn id="5" xr3:uid="{803D16BD-702A-466C-9BE2-E7BED1105A9D}" name="Frequency" dataDxfId="99">
      <calculatedColumnFormula>Table7971112[[#This Row],[Claims]]/Table7971112[[#This Row],[Exposure]]</calculatedColumnFormula>
    </tableColumn>
    <tableColumn id="6" xr3:uid="{4B73AA74-751B-413E-BD7A-F17005F20396}" name="Claim Amount" dataDxfId="98"/>
    <tableColumn id="7" xr3:uid="{C38BD7C2-21AA-4CB0-A950-06F01455B3C0}" name="Loss Cost" dataDxfId="97">
      <calculatedColumnFormula>Table7971112[[#This Row],[Claim Amount]]/Table7971112[[#This Row],[Exposure]]</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49DC89B-987B-4567-BFFF-9013096E6BCC}" name="Table12" displayName="Table12" ref="A1:B7" totalsRowShown="0">
  <autoFilter ref="A1:B7" xr:uid="{149DC89B-987B-4567-BFFF-9013096E6BCC}"/>
  <tableColumns count="2">
    <tableColumn id="1" xr3:uid="{9AAD9E61-9BF4-4962-8340-AAA6B86238B5}" name="Metric"/>
    <tableColumn id="2" xr3:uid="{D2E89395-64F5-46A8-B0F5-88E9992B4354}" name="Value" dataDxfId="9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1E3FE4C-33D2-46A9-BFC7-A2E2B86FE410}" name="Table13" displayName="Table13" ref="E1:Y22" totalsRowShown="0">
  <autoFilter ref="E1:Y22" xr:uid="{51E3FE4C-33D2-46A9-BFC7-A2E2B86FE410}"/>
  <tableColumns count="21">
    <tableColumn id="1" xr3:uid="{8BAABFCB-5E73-4F98-85BD-89C7C88CA76A}" name="Driver Age Band"/>
    <tableColumn id="2" xr3:uid="{69980274-0F9F-45E9-BA89-1EDA944A2B3C}" name="Predicted Loss Cost "/>
    <tableColumn id="3" xr3:uid="{CE300763-2569-4589-8796-5E1600E6E4CF}" name="Relative Loss Cost" dataDxfId="95">
      <calculatedColumnFormula>Table13[[#This Row],[Predicted Loss Cost ]]/$B$4</calculatedColumnFormula>
    </tableColumn>
    <tableColumn id="4" xr3:uid="{C2CBDC9F-DE51-4E0A-A9F6-B7D00194C3C9}" name="Vehicle Age Band"/>
    <tableColumn id="5" xr3:uid="{FBF6036A-E48C-4623-BD4E-E4A3B4E19EE3}" name="Predicted Loss Cost 2"/>
    <tableColumn id="6" xr3:uid="{3997E59E-C1DA-465A-8507-B5E5438A4D98}" name="Relative Loss Cost 2" dataDxfId="94">
      <calculatedColumnFormula>Table13[[#This Row],[Predicted Loss Cost 2]]/$B$4</calculatedColumnFormula>
    </tableColumn>
    <tableColumn id="7" xr3:uid="{FAD7B76E-1786-48C0-9C60-20A2559ACE42}" name="Bonus Malus"/>
    <tableColumn id="8" xr3:uid="{9630BA45-F6EB-43BA-9FAE-321DC1DA9687}" name="Predicted Loss Cost 3"/>
    <tableColumn id="9" xr3:uid="{0C6B2D13-62F2-4D04-8ABD-7D22DFA8E7FA}" name="Relative Loss Cost 3" dataDxfId="93">
      <calculatedColumnFormula>Table13[[#This Row],[Predicted Loss Cost 3]]/$B$4</calculatedColumnFormula>
    </tableColumn>
    <tableColumn id="10" xr3:uid="{99518620-FD98-49E1-9BB3-400A7A791660}" name="Area"/>
    <tableColumn id="11" xr3:uid="{43037575-04AF-4FA2-97ED-7920ECA24F05}" name="Predicted Loss Cost 4"/>
    <tableColumn id="12" xr3:uid="{AA2758FC-8237-4F98-9078-EA57A93B6837}" name="Relative Loss Cost 4" dataDxfId="92">
      <calculatedColumnFormula>Table13[[#This Row],[Predicted Loss Cost 4]]/$B$4</calculatedColumnFormula>
    </tableColumn>
    <tableColumn id="13" xr3:uid="{F87485B8-AE71-4360-9A1A-FF1E41E84F39}" name="Vehicle Power"/>
    <tableColumn id="14" xr3:uid="{E4CC974E-0273-4735-9801-9888797324FB}" name="Predicted Loss Cost 5"/>
    <tableColumn id="15" xr3:uid="{0792EC39-2734-49BD-80A6-5CB7E1A1E359}" name="Relative Loss Cost 5" dataDxfId="91">
      <calculatedColumnFormula>Table13[[#This Row],[Predicted Loss Cost 5]]/$B$4</calculatedColumnFormula>
    </tableColumn>
    <tableColumn id="16" xr3:uid="{A35E3D62-E6EF-4B51-9310-BDADC1DDCFDF}" name="Density"/>
    <tableColumn id="17" xr3:uid="{1579E78B-D25A-4B64-9060-90655F596828}" name="Predicted Loss Cost 6"/>
    <tableColumn id="18" xr3:uid="{974B8E33-098E-435D-9AA5-BAE2366BFD29}" name="Relative Loss Cost 6" dataDxfId="90">
      <calculatedColumnFormula>Table13[[#This Row],[Predicted Loss Cost 6]]/$B$4</calculatedColumnFormula>
    </tableColumn>
    <tableColumn id="19" xr3:uid="{3BDB452E-70AF-42D1-AFA0-C39B3F42FABE}" name="Region"/>
    <tableColumn id="20" xr3:uid="{C04CDD78-9E3A-4AD8-A9B2-93FD69E189B4}" name="Predicted Loss Cost 7"/>
    <tableColumn id="21" xr3:uid="{5ED86952-2582-4D69-95A2-F7BCCD304FF9}" name="Relative Loss Cost 7" dataDxfId="89">
      <calculatedColumnFormula>Table13[[#This Row],[Predicted Loss Cost 7]]/$B$4</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42B821-DC9F-4FDA-9446-6AFFFAC8BAAE}" name="Table14" displayName="Table14" ref="A1:D2" totalsRowShown="0">
  <autoFilter ref="A1:D2" xr:uid="{E342B821-DC9F-4FDA-9446-6AFFFAC8BAAE}"/>
  <tableColumns count="4">
    <tableColumn id="1" xr3:uid="{63931343-98BA-405C-8A65-5FB9F7264B41}" name="Base Frequency" dataDxfId="88"/>
    <tableColumn id="2" xr3:uid="{E1BB2491-234A-49F2-B9B0-C8B7419EE22B}" name="Base Severity" dataDxfId="87"/>
    <tableColumn id="3" xr3:uid="{9D96D6F0-D27C-4717-89E5-109AA812C309}" name="Frequency Change" dataDxfId="86"/>
    <tableColumn id="4" xr3:uid="{C7B0F0D5-9301-4EAF-B84F-BE9CB54F51FB}" name="Severity Change" dataDxfId="8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40D115A-49D9-4801-BDEC-C5532CA5835C}" name="Table15" displayName="Table15" ref="A4:C5" totalsRowShown="0">
  <autoFilter ref="A4:C5" xr:uid="{F40D115A-49D9-4801-BDEC-C5532CA5835C}"/>
  <tableColumns count="3">
    <tableColumn id="1" xr3:uid="{E615368F-7933-4F11-A638-38B2B87B07EA}" name="Adjusted Frequency">
      <calculatedColumnFormula array="1">Table14[Base Frequency]*(1+Table14[Frequency Change])</calculatedColumnFormula>
    </tableColumn>
    <tableColumn id="2" xr3:uid="{7B17F958-A5EC-4313-9AC8-292CBDDAE5B1}" name="Adjusted Severity">
      <calculatedColumnFormula array="1">Table14[Base Severity]*(1+Table14[Severity Change])</calculatedColumnFormula>
    </tableColumn>
    <tableColumn id="3" xr3:uid="{0846D714-BB85-4335-BBD3-D81862E158ED}" name="Expected Loss Cost">
      <calculatedColumnFormula>Table15[[#This Row],[Adjusted Frequency]]*Table15[[#This Row],[Adjusted Severity]]</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BEAD88-AFCB-43B5-9ACA-BD1C1992811D}" name="Table18" displayName="Table18" ref="A3:D4" totalsRowShown="0">
  <autoFilter ref="A3:D4" xr:uid="{46BEAD88-AFCB-43B5-9ACA-BD1C1992811D}"/>
  <tableColumns count="4">
    <tableColumn id="1" xr3:uid="{6E8B77AB-7A34-43B8-B39B-30992027AF55}" name="Overall Calibration"/>
    <tableColumn id="2" xr3:uid="{9E35277A-BEB0-4A13-AB50-EE412D9AFC12}" name="Observed Frequency"/>
    <tableColumn id="3" xr3:uid="{3C3DA363-97C6-4BB1-BB6D-6CAABD187CDB}" name="Predicted Frequency"/>
    <tableColumn id="4" xr3:uid="{889A8E70-0808-4795-91EE-34C31914F821}" name="Percent Err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DA90ED-B31B-4A88-8B48-75724A6342E9}" name="Table19" displayName="Table19" ref="A6:G13" totalsRowShown="0">
  <autoFilter ref="A6:G13" xr:uid="{69DA90ED-B31B-4A88-8B48-75724A6342E9}"/>
  <tableColumns count="7">
    <tableColumn id="1" xr3:uid="{3B8F9E21-AFC8-4775-9CE2-451C83135C9D}" name="Driver Age"/>
    <tableColumn id="8" xr3:uid="{427074B9-5EB6-4BE7-BC0E-207F89FB2ABD}" name="Exposure" dataDxfId="84"/>
    <tableColumn id="15" xr3:uid="{0822B93B-A32E-44A9-9960-C850DE1DF77E}" name="Observed Claims" dataDxfId="83"/>
    <tableColumn id="16" xr3:uid="{6C392CD0-F095-4AC1-A15C-861298C37C7A}" name="Predicted Claims" dataDxfId="82"/>
    <tableColumn id="9" xr3:uid="{B222C9C9-EFAE-4C60-BC6C-1EE5C2ECCCD8}" name="Observed Frequency" dataDxfId="81">
      <calculatedColumnFormula>Table19[[#This Row],[Observed Claims]]/Table19[[#This Row],[Exposure]]</calculatedColumnFormula>
    </tableColumn>
    <tableColumn id="2" xr3:uid="{A82E4021-F962-4BDD-9D96-902778B8B423}" name="Predicted Frequency" dataDxfId="80">
      <calculatedColumnFormula>Table19[[#This Row],[Predicted Claims]]/Table19[[#This Row],[Exposure]]</calculatedColumnFormula>
    </tableColumn>
    <tableColumn id="4" xr3:uid="{12B22EFB-A487-40AD-BC88-6D9846764BA4}" name="Percent Error" dataDxfId="79">
      <calculatedColumnFormula>ABS(Table19[[#This Row],[Predicted Claims]]-Table19[[#This Row],[Observed Claims]])/Table19[[#This Row],[Observed Claims]]</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6DA73B2-C0A9-466F-AB20-4E12F1BDD4DF}" name="Table20" displayName="Table20" ref="A15:G21" totalsRowShown="0">
  <autoFilter ref="A15:G21" xr:uid="{66DA73B2-C0A9-466F-AB20-4E12F1BDD4DF}"/>
  <tableColumns count="7">
    <tableColumn id="1" xr3:uid="{17FC3BD6-82C8-4E2E-8F5C-39A810FE2C15}" name="Bonus Malus" dataDxfId="78"/>
    <tableColumn id="2" xr3:uid="{5BCC7DD5-7141-4391-8957-FD9565C19F88}" name="Exposure" dataDxfId="77"/>
    <tableColumn id="3" xr3:uid="{150583F2-E3BC-420B-8DDF-D82C63C4D45B}" name="Observed Claims" dataDxfId="76"/>
    <tableColumn id="4" xr3:uid="{08628388-6839-4564-93FE-99F4F5424AD9}" name="Predicted Claims" dataDxfId="75"/>
    <tableColumn id="5" xr3:uid="{9C2CE1FE-283A-4C04-8D65-ADC72991ED34}" name="Observed Frequency" dataDxfId="74">
      <calculatedColumnFormula>Table20[[#This Row],[Observed Claims]]/Table20[[#This Row],[Exposure]]</calculatedColumnFormula>
    </tableColumn>
    <tableColumn id="6" xr3:uid="{B8736ED5-7132-42FD-BD3A-AB34C4F1CFAF}" name="Predicted Frequency" dataDxfId="73">
      <calculatedColumnFormula>Table20[[#This Row],[Predicted Claims]]/Table20[[#This Row],[Exposure]]</calculatedColumnFormula>
    </tableColumn>
    <tableColumn id="7" xr3:uid="{6DD388C7-26E2-46E9-AEB8-919B5272C180}" name="Percent Error" dataDxfId="72">
      <calculatedColumnFormula>ABS(Table20[[#This Row],[Predicted Claims]]-Table20[[#This Row],[Observed Claims]])/Table20[[#This Row],[Observed Claims]]</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27053DF-FDB6-482E-AD7B-DB5F27DD8BFA}" name="Table2022" displayName="Table2022" ref="A23:G28" totalsRowShown="0">
  <autoFilter ref="A23:G28" xr:uid="{127053DF-FDB6-482E-AD7B-DB5F27DD8BFA}"/>
  <tableColumns count="7">
    <tableColumn id="1" xr3:uid="{CB705D57-551B-4662-917E-E6613BEDCC3B}" name="Vehicle Age" dataDxfId="71"/>
    <tableColumn id="2" xr3:uid="{CEBBE7D2-8B2A-48A8-A6A8-8D09BD044117}" name="Exposure" dataDxfId="70"/>
    <tableColumn id="3" xr3:uid="{5F256D64-1BD0-4489-ADC8-E328AB83C28A}" name="Observed Claims" dataDxfId="69"/>
    <tableColumn id="4" xr3:uid="{48578691-043A-4403-8EE3-6ED026DF5EFD}" name="Predicted Claims" dataDxfId="68"/>
    <tableColumn id="5" xr3:uid="{0C8E41A4-1892-4A35-AA92-4F5C28628D53}" name="Observed Frequency" dataDxfId="67">
      <calculatedColumnFormula>Table2022[[#This Row],[Observed Claims]]/Table2022[[#This Row],[Exposure]]</calculatedColumnFormula>
    </tableColumn>
    <tableColumn id="6" xr3:uid="{03705813-764F-47DE-92AF-28CEE8B80E0F}" name="Predicted Frequency" dataDxfId="66">
      <calculatedColumnFormula>Table2022[[#This Row],[Predicted Claims]]/Table2022[[#This Row],[Exposure]]</calculatedColumnFormula>
    </tableColumn>
    <tableColumn id="7" xr3:uid="{64CD61B8-F915-4ADF-AA67-D607FBFFC48B}" name="Percent Error" dataDxfId="65">
      <calculatedColumnFormula>ABS(Table2022[[#This Row],[Predicted Claims]]-Table2022[[#This Row],[Observed Claims]])/Table2022[[#This Row],[Observed Claims]]</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05A49C-3E7A-4D27-8DE7-618E75F9EA15}" name="Table202223" displayName="Table202223" ref="A30:G36" totalsRowShown="0">
  <autoFilter ref="A30:G36" xr:uid="{9705A49C-3E7A-4D27-8DE7-618E75F9EA15}"/>
  <tableColumns count="7">
    <tableColumn id="1" xr3:uid="{DE6E5E33-4D8A-474F-91C5-F7755444F399}" name="Area" dataDxfId="64"/>
    <tableColumn id="2" xr3:uid="{133486E6-F91B-4C33-A39A-32031C7537E5}" name="Exposure" dataDxfId="63"/>
    <tableColumn id="3" xr3:uid="{A6858015-2CD6-4C57-83BF-2F8C100A8273}" name="Observed Claims" dataDxfId="62"/>
    <tableColumn id="4" xr3:uid="{D78EB1CC-983B-41B9-8C98-D40A09D51CAD}" name="Predicted Claims" dataDxfId="61"/>
    <tableColumn id="5" xr3:uid="{0CAF58D7-E22C-46F9-B894-E3D512A38AED}" name="Observed Frequency" dataDxfId="60">
      <calculatedColumnFormula>Table202223[[#This Row],[Observed Claims]]/Table202223[[#This Row],[Exposure]]</calculatedColumnFormula>
    </tableColumn>
    <tableColumn id="6" xr3:uid="{33E919AB-F5EA-4E9A-85C9-7763C140EF91}" name="Predicted Frequency" dataDxfId="59">
      <calculatedColumnFormula>Table202223[[#This Row],[Predicted Claims]]/Table202223[[#This Row],[Exposure]]</calculatedColumnFormula>
    </tableColumn>
    <tableColumn id="7" xr3:uid="{E534BFAA-D166-4245-BCA2-31B517E105E0}" name="Percent Error" dataDxfId="58">
      <calculatedColumnFormula>ABS(Table202223[[#This Row],[Predicted Claims]]-Table202223[[#This Row],[Observed Claims]])/Table202223[[#This Row],[Observed Claims]]</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B1CEA29-9206-4271-977E-3FC6A8CE2729}" name="Table202224" displayName="Table202224" ref="A38:G59" totalsRowShown="0">
  <autoFilter ref="A38:G59" xr:uid="{8B1CEA29-9206-4271-977E-3FC6A8CE2729}"/>
  <sortState xmlns:xlrd2="http://schemas.microsoft.com/office/spreadsheetml/2017/richdata2" ref="A39:G59">
    <sortCondition ref="A38:A59"/>
  </sortState>
  <tableColumns count="7">
    <tableColumn id="1" xr3:uid="{0E33377A-8BBB-4A7D-9FFD-420793F0D30F}" name="Region" dataDxfId="57"/>
    <tableColumn id="2" xr3:uid="{9DF367AC-4AE1-4F10-9244-5FC1B86133A3}" name="Exposure" dataDxfId="56"/>
    <tableColumn id="3" xr3:uid="{DDA95BE9-2D05-4555-AB2C-B6A7BD53AC4E}" name="Observed Claims" dataDxfId="55"/>
    <tableColumn id="4" xr3:uid="{BC0955D3-A270-4E45-A96E-1300623A6EFB}" name="Predicted Claims" dataDxfId="54"/>
    <tableColumn id="5" xr3:uid="{A2DAD1C1-37C2-4C5A-B17B-487B97B46866}" name="Observed Frequency" dataDxfId="53">
      <calculatedColumnFormula>Table202224[[#This Row],[Observed Claims]]/Table202224[[#This Row],[Exposure]]</calculatedColumnFormula>
    </tableColumn>
    <tableColumn id="6" xr3:uid="{BDB48ACC-2EFE-4C47-AA93-30A644A0D611}" name="Predicted Frequency" dataDxfId="52">
      <calculatedColumnFormula>Table202224[[#This Row],[Predicted Claims]]/Table202224[[#This Row],[Exposure]]</calculatedColumnFormula>
    </tableColumn>
    <tableColumn id="7" xr3:uid="{689117D6-D546-48A0-83EB-1AFA5028EF24}" name="Percent Error" dataDxfId="51">
      <calculatedColumnFormula>ABS(Table202224[[#This Row],[Predicted Claims]]-Table202224[[#This Row],[Observed Claims]])/Table202224[[#This Row],[Observed Claims]]</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70DBC83-26CB-410C-9435-BE82CB7C152E}" name="Table24" displayName="Table24" ref="T3:Y10" totalsRowShown="0" headerRowDxfId="50" dataDxfId="49" headerRowBorderDxfId="47" tableBorderDxfId="48" totalsRowBorderDxfId="46">
  <autoFilter ref="T3:Y10" xr:uid="{170DBC83-26CB-410C-9435-BE82CB7C152E}"/>
  <tableColumns count="6">
    <tableColumn id="1" xr3:uid="{3FCE9D7F-ED73-46BC-A874-BB47412EDE89}" name="Driver Age" dataDxfId="45"/>
    <tableColumn id="2" xr3:uid="{0EECAB10-587A-42CD-BA08-9056434F98FD}" name="Exposure" dataDxfId="44"/>
    <tableColumn id="3" xr3:uid="{581A8E8A-5787-4647-BF26-6E5E25518F1D}" name="Observed Loss Cost" dataDxfId="43"/>
    <tableColumn id="4" xr3:uid="{929763BB-4919-465A-A1A7-AD121AF8392B}" name="Predicted Loss Cost" dataDxfId="42"/>
    <tableColumn id="5" xr3:uid="{E3FB8332-11F0-432E-AD0C-02FC9D737ADC}" name="Difference" dataDxfId="41">
      <calculatedColumnFormula>ABS(V4-W4)</calculatedColumnFormula>
    </tableColumn>
    <tableColumn id="6" xr3:uid="{76F34E85-9D70-472D-BF67-F9D192A78B22}" name="Percent Error" dataDxfId="40">
      <calculatedColumnFormula>X4/V4</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7C17C05-3C1E-4598-A4C2-F57CE386A386}" name="Table2426" displayName="Table2426" ref="T12:Y18" totalsRowShown="0" headerRowDxfId="39" dataDxfId="38" headerRowBorderDxfId="36" tableBorderDxfId="37" totalsRowBorderDxfId="35">
  <autoFilter ref="T12:Y18" xr:uid="{C7C17C05-3C1E-4598-A4C2-F57CE386A386}"/>
  <tableColumns count="6">
    <tableColumn id="1" xr3:uid="{4B2BD56C-2993-44FA-8284-433F7DB1147A}" name="Bonus Malus" dataDxfId="34"/>
    <tableColumn id="2" xr3:uid="{C26377AB-E112-460E-A2E0-A80D26340039}" name="Exposure" dataDxfId="33"/>
    <tableColumn id="3" xr3:uid="{8444876C-5D88-4D9F-BED9-3B4EE41D8EF6}" name="Observed Loss Cost" dataDxfId="32"/>
    <tableColumn id="4" xr3:uid="{885FFD82-C8CF-4B36-B490-06DDBEA93924}" name="Predicted Loss Cost" dataDxfId="31"/>
    <tableColumn id="5" xr3:uid="{FE854588-0B68-4461-9AB0-6BB97B444AEB}" name="Difference" dataDxfId="30">
      <calculatedColumnFormula>ABS(V13-W13)</calculatedColumnFormula>
    </tableColumn>
    <tableColumn id="6" xr3:uid="{7C65F526-9232-4E4F-AE01-7F78BE6D0758}" name="Percent Error" dataDxfId="29">
      <calculatedColumnFormula>X13/V13</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30FDE21-116F-4607-A150-FCE6715D39AF}" name="Table242627" displayName="Table242627" ref="T20:Y25" totalsRowShown="0" headerRowDxfId="28" dataDxfId="27" headerRowBorderDxfId="25" tableBorderDxfId="26" totalsRowBorderDxfId="24">
  <autoFilter ref="T20:Y25" xr:uid="{830FDE21-116F-4607-A150-FCE6715D39AF}"/>
  <tableColumns count="6">
    <tableColumn id="1" xr3:uid="{EF1FA7C7-2344-4A36-9846-6BE7D0F1EC5A}" name="Vehicle Age" dataDxfId="23"/>
    <tableColumn id="2" xr3:uid="{B5FB6370-8478-4237-A0A7-FEA815BDD58B}" name="Exposure" dataDxfId="22"/>
    <tableColumn id="3" xr3:uid="{DC152089-529C-4B0F-ABD4-AABCF5E0234D}" name="Observed Loss Cost" dataDxfId="21"/>
    <tableColumn id="4" xr3:uid="{39AF260F-B8B4-4E69-A0A3-7938538EDF21}" name="Predicted Loss Cost" dataDxfId="20"/>
    <tableColumn id="5" xr3:uid="{652D3D5D-DF31-4DE0-8AD2-C778BA9E1803}" name="Difference" dataDxfId="19">
      <calculatedColumnFormula>ABS(Table242627[[#This Row],[Predicted Loss Cost]]-Table242627[[#This Row],[Observed Loss Cost]])</calculatedColumnFormula>
    </tableColumn>
    <tableColumn id="6" xr3:uid="{8A0C415B-B0B3-4FCA-BD5A-D047DFAB4FD3}" name="Percent Error" dataDxfId="18">
      <calculatedColumnFormula>Table242627[[#This Row],[Difference]]/Table242627[[#This Row],[Observed Loss Cost]]</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6CFFDA4-EA09-4B66-83CE-3063E02C506A}" name="Table242628" displayName="Table242628" ref="T27:Y33" totalsRowShown="0" headerRowDxfId="17" dataDxfId="16" headerRowBorderDxfId="14" tableBorderDxfId="15" totalsRowBorderDxfId="13">
  <autoFilter ref="T27:Y33" xr:uid="{76CFFDA4-EA09-4B66-83CE-3063E02C506A}"/>
  <tableColumns count="6">
    <tableColumn id="1" xr3:uid="{4F283D36-1DF6-49B7-AEFC-4A628EAE6708}" name="Area" dataDxfId="12"/>
    <tableColumn id="2" xr3:uid="{547A3399-9A81-4880-BE74-02E386FA4F2A}" name="Exposure" dataDxfId="11"/>
    <tableColumn id="3" xr3:uid="{2C741B8C-EC6E-46E6-93ED-245A824435CF}" name="Observed Loss Cost" dataDxfId="10"/>
    <tableColumn id="4" xr3:uid="{904D3AB2-ADAF-4E81-BFF0-301095D95D7B}" name="Predicted Loss Cost" dataDxfId="9"/>
    <tableColumn id="5" xr3:uid="{BB77C339-54B7-41FC-8E8B-6F7EA9C0716D}" name="Difference" dataDxfId="8">
      <calculatedColumnFormula>ABS(V28-W28)</calculatedColumnFormula>
    </tableColumn>
    <tableColumn id="6" xr3:uid="{0ADA0146-44EB-4D2B-9345-F0C8A75E30FD}" name="Percent Error" dataDxfId="7">
      <calculatedColumnFormula>X28/V28</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994EDFB-E0D3-42BE-A8EA-F44D16BD2494}" name="Table28" displayName="Table28" ref="T35:Y56" totalsRowShown="0" tableBorderDxfId="6">
  <autoFilter ref="T35:Y56" xr:uid="{8994EDFB-E0D3-42BE-A8EA-F44D16BD2494}"/>
  <tableColumns count="6">
    <tableColumn id="1" xr3:uid="{4DF9D6C2-D42E-4459-899C-C4181E8A062B}" name="Region" dataDxfId="5"/>
    <tableColumn id="2" xr3:uid="{1BA519D9-CB71-409C-905C-E0B8D7DCE686}" name="Exposure" dataDxfId="4"/>
    <tableColumn id="3" xr3:uid="{D25C39AD-17BB-468A-BFAF-5258D4A7F6C9}" name="Observed Loss Cost" dataDxfId="3"/>
    <tableColumn id="4" xr3:uid="{78F943C0-696C-4537-B011-4A177FC5E26A}" name="Predicted Loss Cost" dataDxfId="2"/>
    <tableColumn id="5" xr3:uid="{4669E7E3-0CC3-4C64-9006-E3DE5053508B}" name="Difference" dataDxfId="1">
      <calculatedColumnFormula>ABS(Table28[[#This Row],[Predicted Loss Cost]]-Table28[[#This Row],[Observed Loss Cost]])</calculatedColumnFormula>
    </tableColumn>
    <tableColumn id="6" xr3:uid="{3BAA11EC-6190-49D8-B6D5-8DCBC935CF5A}" name="Percent Error" dataDxfId="0">
      <calculatedColumnFormula>Table28[[#This Row],[Difference]]/Table28[[#This Row],[Observed Loss Cost]]</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ECF228-6ADB-4631-9824-ACFE1AB04D80}" name="Table16" displayName="Table16" ref="A1:D14" totalsRowShown="0">
  <autoFilter ref="A1:D14" xr:uid="{48ECF228-6ADB-4631-9824-ACFE1AB04D80}"/>
  <tableColumns count="4">
    <tableColumn id="1" xr3:uid="{DF8878C2-E1E9-48C2-BBBA-9E0E98698A84}" name="Variable"/>
    <tableColumn id="2" xr3:uid="{F8053A0F-8D1D-4DC1-9AA0-1372EF4F0FB3}" name="Description"/>
    <tableColumn id="3" xr3:uid="{03E366BB-E1AD-4482-88DE-91941ADF2E3F}" name="Type"/>
    <tableColumn id="4" xr3:uid="{17B99285-2356-4DDA-9519-D64F153330C1}" name="Sourc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2504A23-3DB4-4A49-982F-A108EE33332A}" name="Table17" displayName="Table17" ref="F1:G8" totalsRowShown="0">
  <autoFilter ref="F1:G8" xr:uid="{92504A23-3DB4-4A49-982F-A108EE33332A}"/>
  <tableColumns count="2">
    <tableColumn id="1" xr3:uid="{72FB13DA-30F0-428D-9947-B092D0B88E89}" name="Variable"/>
    <tableColumn id="2" xr3:uid="{5A52456B-27F9-465F-A37B-59CA5949F81B}"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2" Type="http://schemas.openxmlformats.org/officeDocument/2006/relationships/table" Target="../tables/table16.xml"/><Relationship Id="rId1" Type="http://schemas.openxmlformats.org/officeDocument/2006/relationships/drawing" Target="../drawings/drawing3.xm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
  <sheetViews>
    <sheetView tabSelected="1" workbookViewId="0">
      <selection activeCell="A64" sqref="A64:F67"/>
    </sheetView>
  </sheetViews>
  <sheetFormatPr defaultRowHeight="15"/>
  <cols>
    <col min="1" max="1" width="10.7109375" customWidth="1"/>
    <col min="3" max="3" width="12.28515625" customWidth="1"/>
    <col min="4" max="4" width="10.7109375" customWidth="1"/>
  </cols>
  <sheetData>
    <row r="1" spans="1:14">
      <c r="A1" s="58" t="s">
        <v>0</v>
      </c>
      <c r="B1" s="58"/>
      <c r="C1" s="58"/>
      <c r="D1" s="58"/>
      <c r="E1" s="58"/>
      <c r="F1" s="58"/>
      <c r="G1" s="47"/>
      <c r="H1" s="47"/>
      <c r="I1" s="53" t="s">
        <v>1</v>
      </c>
      <c r="J1" s="53"/>
      <c r="K1" s="53"/>
      <c r="L1" s="53"/>
      <c r="M1" s="53"/>
      <c r="N1" s="53"/>
    </row>
    <row r="2" spans="1:14" ht="15" customHeight="1">
      <c r="A2" s="55" t="s">
        <v>2</v>
      </c>
      <c r="B2" s="56"/>
      <c r="C2" s="56"/>
      <c r="D2" s="56"/>
      <c r="E2" s="56"/>
      <c r="F2" s="56"/>
      <c r="G2" s="47"/>
      <c r="H2" s="47"/>
      <c r="I2" s="50" t="s">
        <v>3</v>
      </c>
      <c r="J2" s="50"/>
      <c r="K2" s="50"/>
      <c r="L2" s="50"/>
      <c r="M2" s="50"/>
      <c r="N2" s="50"/>
    </row>
    <row r="3" spans="1:14">
      <c r="A3" s="54" t="s">
        <v>4</v>
      </c>
      <c r="B3" s="54"/>
      <c r="C3" s="54" t="s">
        <v>5</v>
      </c>
      <c r="D3" s="54"/>
      <c r="E3" s="54" t="s">
        <v>6</v>
      </c>
      <c r="F3" s="54"/>
      <c r="I3" s="50"/>
      <c r="J3" s="50"/>
      <c r="K3" s="50"/>
      <c r="L3" s="50"/>
      <c r="M3" s="50"/>
      <c r="N3" s="50"/>
    </row>
    <row r="4" spans="1:14">
      <c r="A4" s="1">
        <v>678013</v>
      </c>
      <c r="C4" s="48">
        <v>358498.524813</v>
      </c>
      <c r="E4" s="1">
        <v>36102</v>
      </c>
      <c r="I4" s="50"/>
      <c r="J4" s="50"/>
      <c r="K4" s="50"/>
      <c r="L4" s="50"/>
      <c r="M4" s="50"/>
      <c r="N4" s="50"/>
    </row>
    <row r="5" spans="1:14">
      <c r="A5" s="54" t="s">
        <v>7</v>
      </c>
      <c r="B5" s="54"/>
      <c r="C5" s="57" t="s">
        <v>8</v>
      </c>
      <c r="D5" s="57"/>
      <c r="E5" s="54" t="s">
        <v>9</v>
      </c>
      <c r="F5" s="54"/>
      <c r="I5" s="50"/>
      <c r="J5" s="50"/>
      <c r="K5" s="50"/>
      <c r="L5" s="50"/>
      <c r="M5" s="50"/>
      <c r="N5" s="50"/>
    </row>
    <row r="6" spans="1:14">
      <c r="A6" s="30">
        <f>E4/C4</f>
        <v>0.10070334325317384</v>
      </c>
      <c r="C6" s="48">
        <v>2278.5363809999999</v>
      </c>
      <c r="E6" s="48">
        <v>205.88677132509201</v>
      </c>
      <c r="I6" s="50"/>
      <c r="J6" s="50"/>
      <c r="K6" s="50"/>
      <c r="L6" s="50"/>
      <c r="M6" s="50"/>
      <c r="N6" s="50"/>
    </row>
    <row r="7" spans="1:14">
      <c r="A7" s="53" t="s">
        <v>10</v>
      </c>
      <c r="B7" s="53"/>
      <c r="C7" s="53"/>
      <c r="D7" s="53"/>
      <c r="E7" s="53"/>
      <c r="F7" s="53"/>
      <c r="I7" s="50"/>
      <c r="J7" s="50"/>
      <c r="K7" s="50"/>
      <c r="L7" s="50"/>
      <c r="M7" s="50"/>
      <c r="N7" s="50"/>
    </row>
    <row r="8" spans="1:14">
      <c r="A8" s="49" t="s">
        <v>11</v>
      </c>
      <c r="B8" t="s">
        <v>12</v>
      </c>
      <c r="C8" s="49" t="s">
        <v>13</v>
      </c>
      <c r="D8" t="s">
        <v>14</v>
      </c>
      <c r="E8" s="49" t="s">
        <v>15</v>
      </c>
      <c r="F8" t="s">
        <v>16</v>
      </c>
      <c r="I8" s="50"/>
      <c r="J8" s="50"/>
      <c r="K8" s="50"/>
      <c r="L8" s="50"/>
      <c r="M8" s="50"/>
      <c r="N8" s="50"/>
    </row>
    <row r="9" spans="1:14">
      <c r="A9" s="49" t="s">
        <v>17</v>
      </c>
      <c r="B9" t="s">
        <v>18</v>
      </c>
      <c r="C9" s="49" t="s">
        <v>19</v>
      </c>
      <c r="D9" t="s">
        <v>20</v>
      </c>
      <c r="E9" s="49" t="s">
        <v>21</v>
      </c>
      <c r="F9" t="s">
        <v>22</v>
      </c>
    </row>
    <row r="10" spans="1:14">
      <c r="A10" s="53" t="s">
        <v>23</v>
      </c>
      <c r="B10" s="53"/>
      <c r="C10" s="53"/>
      <c r="D10" s="53"/>
      <c r="E10" s="53"/>
      <c r="F10" s="53"/>
    </row>
    <row r="11" spans="1:14">
      <c r="A11" s="54" t="s">
        <v>24</v>
      </c>
      <c r="B11" s="54"/>
      <c r="C11" s="54"/>
      <c r="D11" s="54"/>
      <c r="E11" s="54"/>
      <c r="F11" s="54"/>
    </row>
    <row r="23" spans="1:6">
      <c r="A23" s="54" t="s">
        <v>25</v>
      </c>
      <c r="B23" s="54"/>
      <c r="C23" s="54"/>
      <c r="D23" s="54"/>
      <c r="E23" s="54"/>
      <c r="F23" s="54"/>
    </row>
    <row r="37" spans="1:6">
      <c r="A37" s="54" t="s">
        <v>26</v>
      </c>
      <c r="B37" s="54"/>
      <c r="C37" s="54"/>
      <c r="D37" s="54"/>
      <c r="E37" s="54"/>
      <c r="F37" s="54"/>
    </row>
    <row r="51" spans="1:6">
      <c r="A51" s="53" t="s">
        <v>27</v>
      </c>
      <c r="B51" s="53"/>
      <c r="C51" s="53"/>
      <c r="D51" s="53"/>
      <c r="E51" s="53"/>
      <c r="F51" s="53"/>
    </row>
    <row r="52" spans="1:6" ht="15" customHeight="1">
      <c r="A52" s="51" t="s">
        <v>28</v>
      </c>
      <c r="B52" s="51"/>
      <c r="C52" s="51"/>
      <c r="D52" s="51"/>
      <c r="E52" s="51"/>
      <c r="F52" s="51"/>
    </row>
    <row r="53" spans="1:6">
      <c r="A53" s="51"/>
      <c r="B53" s="51"/>
      <c r="C53" s="51"/>
      <c r="D53" s="51"/>
      <c r="E53" s="51"/>
      <c r="F53" s="51"/>
    </row>
    <row r="54" spans="1:6">
      <c r="A54" s="51"/>
      <c r="B54" s="51"/>
      <c r="C54" s="51"/>
      <c r="D54" s="51"/>
      <c r="E54" s="51"/>
      <c r="F54" s="51"/>
    </row>
    <row r="55" spans="1:6">
      <c r="A55" s="51" t="s">
        <v>29</v>
      </c>
      <c r="B55" s="52"/>
      <c r="C55" s="52"/>
      <c r="D55" s="52"/>
      <c r="E55" s="52"/>
      <c r="F55" s="52"/>
    </row>
    <row r="56" spans="1:6">
      <c r="A56" s="52"/>
      <c r="B56" s="52"/>
      <c r="C56" s="52"/>
      <c r="D56" s="52"/>
      <c r="E56" s="52"/>
      <c r="F56" s="52"/>
    </row>
    <row r="57" spans="1:6">
      <c r="A57" s="52"/>
      <c r="B57" s="52"/>
      <c r="C57" s="52"/>
      <c r="D57" s="52"/>
      <c r="E57" s="52"/>
      <c r="F57" s="52"/>
    </row>
    <row r="58" spans="1:6">
      <c r="A58" s="51" t="s">
        <v>30</v>
      </c>
      <c r="B58" s="52"/>
      <c r="C58" s="52"/>
      <c r="D58" s="52"/>
      <c r="E58" s="52"/>
      <c r="F58" s="52"/>
    </row>
    <row r="59" spans="1:6">
      <c r="A59" s="52"/>
      <c r="B59" s="52"/>
      <c r="C59" s="52"/>
      <c r="D59" s="52"/>
      <c r="E59" s="52"/>
      <c r="F59" s="52"/>
    </row>
    <row r="60" spans="1:6">
      <c r="A60" s="52"/>
      <c r="B60" s="52"/>
      <c r="C60" s="52"/>
      <c r="D60" s="52"/>
      <c r="E60" s="52"/>
      <c r="F60" s="52"/>
    </row>
    <row r="61" spans="1:6">
      <c r="A61" s="51" t="s">
        <v>31</v>
      </c>
      <c r="B61" s="52"/>
      <c r="C61" s="52"/>
      <c r="D61" s="52"/>
      <c r="E61" s="52"/>
      <c r="F61" s="52"/>
    </row>
    <row r="62" spans="1:6">
      <c r="A62" s="52"/>
      <c r="B62" s="52"/>
      <c r="C62" s="52"/>
      <c r="D62" s="52"/>
      <c r="E62" s="52"/>
      <c r="F62" s="52"/>
    </row>
    <row r="63" spans="1:6">
      <c r="A63" s="52"/>
      <c r="B63" s="52"/>
      <c r="C63" s="52"/>
      <c r="D63" s="52"/>
      <c r="E63" s="52"/>
      <c r="F63" s="52"/>
    </row>
    <row r="64" spans="1:6" ht="15" customHeight="1">
      <c r="A64" s="50" t="s">
        <v>32</v>
      </c>
      <c r="B64" s="50"/>
      <c r="C64" s="50"/>
      <c r="D64" s="50"/>
      <c r="E64" s="50"/>
      <c r="F64" s="50"/>
    </row>
    <row r="65" spans="1:6">
      <c r="A65" s="50"/>
      <c r="B65" s="50"/>
      <c r="C65" s="50"/>
      <c r="D65" s="50"/>
      <c r="E65" s="50"/>
      <c r="F65" s="50"/>
    </row>
    <row r="66" spans="1:6">
      <c r="A66" s="50"/>
      <c r="B66" s="50"/>
      <c r="C66" s="50"/>
      <c r="D66" s="50"/>
      <c r="E66" s="50"/>
      <c r="F66" s="50"/>
    </row>
    <row r="67" spans="1:6">
      <c r="A67" s="50"/>
      <c r="B67" s="50"/>
      <c r="C67" s="50"/>
      <c r="D67" s="50"/>
      <c r="E67" s="50"/>
      <c r="F67" s="50"/>
    </row>
  </sheetData>
  <mergeCells count="21">
    <mergeCell ref="C3:D3"/>
    <mergeCell ref="E3:F3"/>
    <mergeCell ref="E5:F5"/>
    <mergeCell ref="A5:B5"/>
    <mergeCell ref="A55:F57"/>
    <mergeCell ref="A64:F67"/>
    <mergeCell ref="A58:F60"/>
    <mergeCell ref="A61:F63"/>
    <mergeCell ref="I1:N1"/>
    <mergeCell ref="I2:N8"/>
    <mergeCell ref="A37:F37"/>
    <mergeCell ref="A51:F51"/>
    <mergeCell ref="A52:F54"/>
    <mergeCell ref="A7:F7"/>
    <mergeCell ref="A2:F2"/>
    <mergeCell ref="A10:F10"/>
    <mergeCell ref="A11:F11"/>
    <mergeCell ref="A23:F23"/>
    <mergeCell ref="C5:D5"/>
    <mergeCell ref="A1:F1"/>
    <mergeCell ref="A3: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71D8-F81E-4875-974E-185B21A46E7E}">
  <dimension ref="A1:E10"/>
  <sheetViews>
    <sheetView workbookViewId="0">
      <selection activeCell="F9" sqref="F9"/>
    </sheetView>
  </sheetViews>
  <sheetFormatPr defaultRowHeight="15"/>
  <cols>
    <col min="1" max="1" width="26.5703125" customWidth="1"/>
    <col min="2" max="2" width="15.28515625" bestFit="1" customWidth="1"/>
    <col min="4" max="4" width="16.42578125" customWidth="1"/>
    <col min="5" max="5" width="15.7109375" customWidth="1"/>
  </cols>
  <sheetData>
    <row r="1" spans="1:5">
      <c r="A1" t="s">
        <v>33</v>
      </c>
      <c r="B1" t="s">
        <v>34</v>
      </c>
      <c r="D1" s="58" t="s">
        <v>35</v>
      </c>
      <c r="E1" s="58"/>
    </row>
    <row r="2" spans="1:5">
      <c r="A2" t="s">
        <v>36</v>
      </c>
      <c r="B2" s="1">
        <v>678013</v>
      </c>
      <c r="D2" t="s">
        <v>33</v>
      </c>
      <c r="E2" t="s">
        <v>37</v>
      </c>
    </row>
    <row r="3" spans="1:5">
      <c r="A3" t="s">
        <v>5</v>
      </c>
      <c r="B3" s="1">
        <v>358499</v>
      </c>
      <c r="D3" t="s">
        <v>38</v>
      </c>
      <c r="E3" s="2">
        <v>2278.54</v>
      </c>
    </row>
    <row r="4" spans="1:5">
      <c r="A4" t="s">
        <v>39</v>
      </c>
      <c r="B4" s="1">
        <v>36102</v>
      </c>
      <c r="D4" t="s">
        <v>40</v>
      </c>
      <c r="E4" s="3">
        <v>1172</v>
      </c>
    </row>
    <row r="5" spans="1:5">
      <c r="A5" t="s">
        <v>41</v>
      </c>
      <c r="B5">
        <f>ROUND(B4/B3, 4)</f>
        <v>0.1007</v>
      </c>
      <c r="D5" t="s">
        <v>42</v>
      </c>
      <c r="E5" s="2">
        <v>1228.08</v>
      </c>
    </row>
    <row r="6" spans="1:5">
      <c r="A6" t="s">
        <v>43</v>
      </c>
      <c r="B6" s="1">
        <v>26639</v>
      </c>
      <c r="D6" t="s">
        <v>44</v>
      </c>
      <c r="E6" s="2">
        <v>2799.07</v>
      </c>
    </row>
    <row r="7" spans="1:5">
      <c r="A7" t="s">
        <v>45</v>
      </c>
      <c r="B7" s="2">
        <v>60697930.68</v>
      </c>
      <c r="D7" t="s">
        <v>46</v>
      </c>
      <c r="E7" s="2">
        <v>4861.6899999999996</v>
      </c>
    </row>
    <row r="8" spans="1:5">
      <c r="A8" t="s">
        <v>47</v>
      </c>
      <c r="B8" s="2">
        <v>2278.54</v>
      </c>
      <c r="D8" t="s">
        <v>48</v>
      </c>
      <c r="E8" s="4">
        <v>16793.7</v>
      </c>
    </row>
    <row r="9" spans="1:5">
      <c r="A9" t="s">
        <v>49</v>
      </c>
      <c r="B9" s="3">
        <v>1172</v>
      </c>
      <c r="D9" t="s">
        <v>50</v>
      </c>
      <c r="E9" s="4">
        <v>162784.44</v>
      </c>
    </row>
    <row r="10" spans="1:5">
      <c r="A10" t="s">
        <v>51</v>
      </c>
      <c r="B10" s="2">
        <v>4075400.56</v>
      </c>
      <c r="D10" t="s">
        <v>52</v>
      </c>
      <c r="E10" s="2">
        <v>4075400.56</v>
      </c>
    </row>
  </sheetData>
  <mergeCells count="1">
    <mergeCell ref="D1:E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A836-6B7C-4CB7-BDFA-3C0BEF8D6708}">
  <dimension ref="A1:K8"/>
  <sheetViews>
    <sheetView workbookViewId="0">
      <selection sqref="A1:E8"/>
    </sheetView>
  </sheetViews>
  <sheetFormatPr defaultRowHeight="15"/>
  <cols>
    <col min="1" max="1" width="12.85546875" bestFit="1" customWidth="1"/>
    <col min="2" max="2" width="10.140625" bestFit="1" customWidth="1"/>
    <col min="3" max="3" width="12.5703125" bestFit="1" customWidth="1"/>
    <col min="4" max="4" width="9.28515625" customWidth="1"/>
    <col min="5" max="5" width="13.85546875" customWidth="1"/>
    <col min="7" max="11" width="11.42578125" bestFit="1" customWidth="1"/>
  </cols>
  <sheetData>
    <row r="1" spans="1:11">
      <c r="A1" s="6" t="s">
        <v>11</v>
      </c>
      <c r="B1" s="6" t="s">
        <v>4</v>
      </c>
      <c r="C1" s="6" t="s">
        <v>53</v>
      </c>
      <c r="D1" s="6" t="s">
        <v>6</v>
      </c>
      <c r="E1" s="6" t="s">
        <v>7</v>
      </c>
      <c r="G1" t="s">
        <v>13</v>
      </c>
      <c r="H1" t="s">
        <v>4</v>
      </c>
      <c r="I1" t="s">
        <v>53</v>
      </c>
      <c r="J1" t="s">
        <v>6</v>
      </c>
      <c r="K1" t="s">
        <v>7</v>
      </c>
    </row>
    <row r="2" spans="1:11">
      <c r="A2" s="5" t="s">
        <v>54</v>
      </c>
      <c r="B2" s="5">
        <v>6040</v>
      </c>
      <c r="C2" s="5">
        <v>2472.907952</v>
      </c>
      <c r="D2" s="5">
        <v>479</v>
      </c>
      <c r="E2" s="5">
        <f>D2/C2</f>
        <v>0.19369908193008228</v>
      </c>
      <c r="G2" t="s">
        <v>55</v>
      </c>
      <c r="H2" s="1">
        <v>579271</v>
      </c>
      <c r="I2" s="4">
        <v>318869.55</v>
      </c>
      <c r="J2" s="1">
        <v>28774</v>
      </c>
      <c r="K2">
        <f>Table4[[#This Row],[Claims]]/Table4[[#This Row],[Exposure]]</f>
        <v>9.0237528167866773E-2</v>
      </c>
    </row>
    <row r="3" spans="1:11">
      <c r="A3" s="5" t="s">
        <v>56</v>
      </c>
      <c r="B3" s="5">
        <v>28285</v>
      </c>
      <c r="C3" s="5">
        <v>12918.32662</v>
      </c>
      <c r="D3" s="5">
        <v>1325</v>
      </c>
      <c r="E3" s="5">
        <f t="shared" ref="E3:E8" si="0">D3/C3</f>
        <v>0.10256746395842406</v>
      </c>
      <c r="G3" t="s">
        <v>57</v>
      </c>
      <c r="H3" s="1">
        <v>71418</v>
      </c>
      <c r="I3" s="4">
        <v>29817.7</v>
      </c>
      <c r="J3" s="1">
        <v>4265</v>
      </c>
      <c r="K3">
        <f>Table4[[#This Row],[Claims]]/Table4[[#This Row],[Exposure]]</f>
        <v>0.14303584783534612</v>
      </c>
    </row>
    <row r="4" spans="1:11">
      <c r="A4" s="5" t="s">
        <v>58</v>
      </c>
      <c r="B4" s="5">
        <v>33983</v>
      </c>
      <c r="C4" s="5">
        <v>17364.618340000001</v>
      </c>
      <c r="D4" s="5">
        <v>1639</v>
      </c>
      <c r="E4" s="5">
        <f t="shared" si="0"/>
        <v>9.4387332212451033E-2</v>
      </c>
      <c r="G4" t="s">
        <v>59</v>
      </c>
      <c r="H4" s="1">
        <v>25059</v>
      </c>
      <c r="I4" s="4">
        <v>8806.77</v>
      </c>
      <c r="J4" s="1">
        <v>2591</v>
      </c>
      <c r="K4">
        <f>Table4[[#This Row],[Claims]]/Table4[[#This Row],[Exposure]]</f>
        <v>0.29420548055643553</v>
      </c>
    </row>
    <row r="5" spans="1:11">
      <c r="A5" s="5" t="s">
        <v>60</v>
      </c>
      <c r="B5" s="5">
        <v>32809</v>
      </c>
      <c r="C5" s="5">
        <v>18003.706740000001</v>
      </c>
      <c r="D5" s="5">
        <v>1884</v>
      </c>
      <c r="E5" s="5">
        <f t="shared" si="0"/>
        <v>0.10464511709770273</v>
      </c>
      <c r="G5" t="s">
        <v>61</v>
      </c>
      <c r="H5" s="1">
        <v>1739</v>
      </c>
      <c r="I5">
        <v>756.02</v>
      </c>
      <c r="J5">
        <v>346</v>
      </c>
      <c r="K5">
        <f>Table4[[#This Row],[Claims]]/Table4[[#This Row],[Exposure]]</f>
        <v>0.45765985026851141</v>
      </c>
    </row>
    <row r="6" spans="1:11">
      <c r="A6" s="5" t="s">
        <v>62</v>
      </c>
      <c r="B6" s="5">
        <v>19866</v>
      </c>
      <c r="C6" s="5">
        <v>11270.14467</v>
      </c>
      <c r="D6" s="5">
        <v>1042</v>
      </c>
      <c r="E6" s="5">
        <f t="shared" si="0"/>
        <v>9.245666586460953E-2</v>
      </c>
      <c r="G6" t="s">
        <v>63</v>
      </c>
      <c r="H6">
        <v>461</v>
      </c>
      <c r="I6">
        <v>220.01</v>
      </c>
      <c r="J6">
        <v>108</v>
      </c>
      <c r="K6">
        <f>Table4[[#This Row],[Claims]]/Table4[[#This Row],[Exposure]]</f>
        <v>0.49088677787373303</v>
      </c>
    </row>
    <row r="7" spans="1:11">
      <c r="A7" s="5" t="s">
        <v>64</v>
      </c>
      <c r="B7" s="5">
        <v>10152</v>
      </c>
      <c r="C7" s="5">
        <v>6422.9826869999997</v>
      </c>
      <c r="D7" s="5">
        <v>553</v>
      </c>
      <c r="E7" s="5">
        <f t="shared" si="0"/>
        <v>8.6097071555129981E-2</v>
      </c>
      <c r="G7" t="s">
        <v>65</v>
      </c>
      <c r="H7">
        <v>65</v>
      </c>
      <c r="I7">
        <v>29.4</v>
      </c>
      <c r="J7">
        <v>18</v>
      </c>
      <c r="K7">
        <f>Table4[[#This Row],[Claims]]/Table4[[#This Row],[Exposure]]</f>
        <v>0.61224489795918369</v>
      </c>
    </row>
    <row r="8" spans="1:11">
      <c r="A8" s="5" t="s">
        <v>66</v>
      </c>
      <c r="B8" s="5">
        <v>4468</v>
      </c>
      <c r="C8" s="5">
        <v>3171.7360990000002</v>
      </c>
      <c r="D8" s="5">
        <v>319</v>
      </c>
      <c r="E8" s="5">
        <f t="shared" si="0"/>
        <v>0.10057583293281425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4F0A1-DF7E-42A6-8BC6-BC48E131B194}">
  <dimension ref="A1:B9"/>
  <sheetViews>
    <sheetView workbookViewId="0">
      <selection activeCell="C10" sqref="C10"/>
    </sheetView>
  </sheetViews>
  <sheetFormatPr defaultRowHeight="15"/>
  <cols>
    <col min="1" max="1" width="16.140625" bestFit="1" customWidth="1"/>
    <col min="2" max="2" width="14.28515625" bestFit="1" customWidth="1"/>
  </cols>
  <sheetData>
    <row r="1" spans="1:2">
      <c r="A1" s="59" t="s">
        <v>67</v>
      </c>
      <c r="B1" s="59"/>
    </row>
    <row r="2" spans="1:2">
      <c r="A2" s="7" t="s">
        <v>38</v>
      </c>
      <c r="B2" s="8">
        <v>2278.54</v>
      </c>
    </row>
    <row r="3" spans="1:2">
      <c r="A3" s="9" t="s">
        <v>40</v>
      </c>
      <c r="B3" s="10">
        <v>1172</v>
      </c>
    </row>
    <row r="4" spans="1:2">
      <c r="A4" s="7" t="s">
        <v>42</v>
      </c>
      <c r="B4" s="8">
        <v>1228.08</v>
      </c>
    </row>
    <row r="5" spans="1:2">
      <c r="A5" s="9" t="s">
        <v>44</v>
      </c>
      <c r="B5" s="11">
        <v>2799.07</v>
      </c>
    </row>
    <row r="6" spans="1:2">
      <c r="A6" s="7" t="s">
        <v>46</v>
      </c>
      <c r="B6" s="8">
        <v>4861.6899999999996</v>
      </c>
    </row>
    <row r="7" spans="1:2">
      <c r="A7" s="9" t="s">
        <v>48</v>
      </c>
      <c r="B7" s="12">
        <v>16793.7</v>
      </c>
    </row>
    <row r="8" spans="1:2">
      <c r="A8" s="7" t="s">
        <v>50</v>
      </c>
      <c r="B8" s="13">
        <v>162784.44</v>
      </c>
    </row>
    <row r="9" spans="1:2">
      <c r="A9" s="9" t="s">
        <v>52</v>
      </c>
      <c r="B9" s="11">
        <v>4075400.56</v>
      </c>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F80E-DCA8-4186-B8B6-0965F811AC64}">
  <dimension ref="A1:BC25"/>
  <sheetViews>
    <sheetView workbookViewId="0">
      <selection activeCell="C13" sqref="C13"/>
    </sheetView>
  </sheetViews>
  <sheetFormatPr defaultRowHeight="15"/>
  <cols>
    <col min="1" max="1" width="12.85546875" bestFit="1" customWidth="1"/>
    <col min="2" max="2" width="11.42578125" bestFit="1" customWidth="1"/>
    <col min="3" max="3" width="12.5703125" bestFit="1" customWidth="1"/>
    <col min="4" max="4" width="11.42578125" bestFit="1" customWidth="1"/>
    <col min="5" max="5" width="12.7109375" bestFit="1" customWidth="1"/>
    <col min="6" max="6" width="16.28515625" bestFit="1" customWidth="1"/>
    <col min="7" max="7" width="11.5703125" bestFit="1" customWidth="1"/>
    <col min="8" max="8" width="2.140625" customWidth="1"/>
    <col min="9" max="9" width="13.85546875" bestFit="1" customWidth="1"/>
    <col min="10" max="10" width="14.28515625" bestFit="1" customWidth="1"/>
    <col min="11" max="11" width="16.7109375" bestFit="1" customWidth="1"/>
    <col min="12" max="12" width="10.85546875" bestFit="1" customWidth="1"/>
    <col min="13" max="13" width="12.7109375" bestFit="1" customWidth="1"/>
    <col min="14" max="14" width="16.28515625" bestFit="1" customWidth="1"/>
    <col min="15" max="15" width="11.5703125" bestFit="1" customWidth="1"/>
    <col min="16" max="16" width="2.140625" customWidth="1"/>
    <col min="17" max="17" width="15" bestFit="1" customWidth="1"/>
    <col min="18" max="19" width="11.85546875" bestFit="1" customWidth="1"/>
    <col min="20" max="20" width="10.85546875" bestFit="1" customWidth="1"/>
    <col min="21" max="21" width="12.7109375" bestFit="1" customWidth="1"/>
    <col min="22" max="22" width="16.28515625" bestFit="1" customWidth="1"/>
    <col min="23" max="23" width="11.5703125" bestFit="1" customWidth="1"/>
    <col min="24" max="24" width="2" customWidth="1"/>
    <col min="25" max="25" width="9.28515625" bestFit="1" customWidth="1"/>
    <col min="26" max="26" width="11" customWidth="1"/>
    <col min="27" max="27" width="12.5703125" bestFit="1" customWidth="1"/>
    <col min="28" max="28" width="9.7109375" bestFit="1" customWidth="1"/>
    <col min="29" max="29" width="12.7109375" bestFit="1" customWidth="1"/>
    <col min="30" max="30" width="16.28515625" bestFit="1" customWidth="1"/>
    <col min="31" max="31" width="12.5703125" bestFit="1" customWidth="1"/>
    <col min="32" max="32" width="1.85546875" customWidth="1"/>
    <col min="33" max="33" width="16.28515625" bestFit="1" customWidth="1"/>
    <col min="34" max="34" width="11.85546875" bestFit="1" customWidth="1"/>
    <col min="35" max="35" width="12.5703125" bestFit="1" customWidth="1"/>
    <col min="36" max="36" width="10.85546875" bestFit="1" customWidth="1"/>
    <col min="37" max="37" width="12.7109375" bestFit="1" customWidth="1"/>
    <col min="38" max="38" width="16.28515625" bestFit="1" customWidth="1"/>
    <col min="39" max="39" width="12.5703125" bestFit="1" customWidth="1"/>
    <col min="40" max="40" width="2" customWidth="1"/>
    <col min="41" max="41" width="14.85546875" bestFit="1" customWidth="1"/>
    <col min="42" max="42" width="11.85546875" bestFit="1" customWidth="1"/>
    <col min="43" max="43" width="12.5703125" bestFit="1" customWidth="1"/>
    <col min="44" max="44" width="10.85546875" bestFit="1" customWidth="1"/>
    <col min="45" max="45" width="12.7109375" bestFit="1" customWidth="1"/>
    <col min="46" max="46" width="16.28515625" bestFit="1" customWidth="1"/>
    <col min="47" max="47" width="12.5703125" bestFit="1" customWidth="1"/>
    <col min="48" max="48" width="2.7109375" customWidth="1"/>
    <col min="49" max="49" width="27.140625" bestFit="1" customWidth="1"/>
    <col min="50" max="50" width="11.85546875" bestFit="1" customWidth="1"/>
    <col min="51" max="51" width="12.5703125" bestFit="1" customWidth="1"/>
    <col min="52" max="52" width="9.7109375" bestFit="1" customWidth="1"/>
    <col min="53" max="53" width="12.7109375" bestFit="1" customWidth="1"/>
    <col min="54" max="54" width="16.28515625" bestFit="1" customWidth="1"/>
    <col min="55" max="55" width="12.5703125" bestFit="1" customWidth="1"/>
  </cols>
  <sheetData>
    <row r="1" spans="1:55">
      <c r="A1" s="61" t="s">
        <v>68</v>
      </c>
      <c r="B1" s="61"/>
      <c r="C1" s="61"/>
      <c r="D1" s="61"/>
      <c r="E1" s="61"/>
      <c r="F1" s="61"/>
      <c r="G1" s="61"/>
      <c r="I1" s="60" t="s">
        <v>69</v>
      </c>
      <c r="J1" s="60"/>
      <c r="K1" s="60"/>
      <c r="L1" s="60"/>
      <c r="M1" s="60"/>
      <c r="N1" s="60"/>
      <c r="O1" s="60"/>
      <c r="Q1" s="60" t="s">
        <v>70</v>
      </c>
      <c r="R1" s="60"/>
      <c r="S1" s="60"/>
      <c r="T1" s="60"/>
      <c r="U1" s="60"/>
      <c r="V1" s="60"/>
      <c r="W1" s="60"/>
      <c r="Y1" s="60" t="s">
        <v>71</v>
      </c>
      <c r="Z1" s="60"/>
      <c r="AA1" s="60"/>
      <c r="AB1" s="60"/>
      <c r="AC1" s="60"/>
      <c r="AD1" s="60"/>
      <c r="AE1" s="60"/>
      <c r="AG1" s="60" t="s">
        <v>72</v>
      </c>
      <c r="AH1" s="60"/>
      <c r="AI1" s="60"/>
      <c r="AJ1" s="60"/>
      <c r="AK1" s="60"/>
      <c r="AL1" s="60"/>
      <c r="AM1" s="60"/>
      <c r="AO1" s="60" t="s">
        <v>73</v>
      </c>
      <c r="AP1" s="60"/>
      <c r="AQ1" s="60"/>
      <c r="AR1" s="60"/>
      <c r="AS1" s="60"/>
      <c r="AT1" s="60"/>
      <c r="AU1" s="60"/>
      <c r="AW1" s="60" t="s">
        <v>74</v>
      </c>
      <c r="AX1" s="60"/>
      <c r="AY1" s="60"/>
      <c r="AZ1" s="60"/>
      <c r="BA1" s="60"/>
      <c r="BB1" s="60"/>
      <c r="BC1" s="60"/>
    </row>
    <row r="2" spans="1:55">
      <c r="A2" s="6" t="s">
        <v>11</v>
      </c>
      <c r="B2" s="6" t="s">
        <v>4</v>
      </c>
      <c r="C2" s="6" t="s">
        <v>53</v>
      </c>
      <c r="D2" s="6" t="s">
        <v>6</v>
      </c>
      <c r="E2" s="6" t="s">
        <v>7</v>
      </c>
      <c r="F2" s="14" t="s">
        <v>75</v>
      </c>
      <c r="G2" s="14" t="s">
        <v>76</v>
      </c>
      <c r="I2" t="s">
        <v>17</v>
      </c>
      <c r="J2" t="s">
        <v>4</v>
      </c>
      <c r="K2" t="s">
        <v>53</v>
      </c>
      <c r="L2" t="s">
        <v>6</v>
      </c>
      <c r="M2" t="s">
        <v>7</v>
      </c>
      <c r="N2" t="s">
        <v>75</v>
      </c>
      <c r="O2" t="s">
        <v>76</v>
      </c>
      <c r="Q2" t="s">
        <v>13</v>
      </c>
      <c r="R2" t="s">
        <v>4</v>
      </c>
      <c r="S2" t="s">
        <v>53</v>
      </c>
      <c r="T2" t="s">
        <v>6</v>
      </c>
      <c r="U2" t="s">
        <v>7</v>
      </c>
      <c r="V2" t="s">
        <v>75</v>
      </c>
      <c r="W2" t="s">
        <v>76</v>
      </c>
      <c r="Y2" t="s">
        <v>15</v>
      </c>
      <c r="Z2" t="s">
        <v>4</v>
      </c>
      <c r="AA2" t="s">
        <v>53</v>
      </c>
      <c r="AB2" t="s">
        <v>6</v>
      </c>
      <c r="AC2" t="s">
        <v>7</v>
      </c>
      <c r="AD2" t="s">
        <v>75</v>
      </c>
      <c r="AE2" t="s">
        <v>76</v>
      </c>
      <c r="AG2" t="s">
        <v>77</v>
      </c>
      <c r="AH2" t="s">
        <v>4</v>
      </c>
      <c r="AI2" t="s">
        <v>53</v>
      </c>
      <c r="AJ2" t="s">
        <v>6</v>
      </c>
      <c r="AK2" t="s">
        <v>7</v>
      </c>
      <c r="AL2" t="s">
        <v>75</v>
      </c>
      <c r="AM2" t="s">
        <v>76</v>
      </c>
      <c r="AO2" t="s">
        <v>21</v>
      </c>
      <c r="AP2" t="s">
        <v>4</v>
      </c>
      <c r="AQ2" t="s">
        <v>53</v>
      </c>
      <c r="AR2" t="s">
        <v>6</v>
      </c>
      <c r="AS2" t="s">
        <v>7</v>
      </c>
      <c r="AT2" t="s">
        <v>75</v>
      </c>
      <c r="AU2" t="s">
        <v>76</v>
      </c>
      <c r="AW2" t="s">
        <v>19</v>
      </c>
      <c r="AX2" t="s">
        <v>4</v>
      </c>
      <c r="AY2" t="s">
        <v>53</v>
      </c>
      <c r="AZ2" t="s">
        <v>6</v>
      </c>
      <c r="BA2" t="s">
        <v>7</v>
      </c>
      <c r="BB2" t="s">
        <v>75</v>
      </c>
      <c r="BC2" t="s">
        <v>76</v>
      </c>
    </row>
    <row r="3" spans="1:55">
      <c r="A3" s="5" t="s">
        <v>54</v>
      </c>
      <c r="B3" s="20">
        <v>6040</v>
      </c>
      <c r="C3" s="20">
        <v>12488.241045000001</v>
      </c>
      <c r="D3" s="20">
        <v>2364</v>
      </c>
      <c r="E3" s="20">
        <f>D3/C3</f>
        <v>0.18929807580439764</v>
      </c>
      <c r="F3" s="22">
        <v>11741344.210000001</v>
      </c>
      <c r="G3" s="21">
        <v>940.19199000000003</v>
      </c>
      <c r="I3" t="s">
        <v>78</v>
      </c>
      <c r="J3" s="18">
        <v>666325</v>
      </c>
      <c r="K3" s="18">
        <v>351351.54918099998</v>
      </c>
      <c r="L3" s="18">
        <v>35701</v>
      </c>
      <c r="M3" s="18">
        <f>Table7[[#This Row],[Claims]]/Table7[[#This Row],[Exposure]]</f>
        <v>0.10161048124938964</v>
      </c>
      <c r="N3" s="19">
        <v>59309709.210000001</v>
      </c>
      <c r="O3" s="18">
        <f>Table7[[#This Row],[Claim Amount]]/Table7[[#This Row],[Exposure]]</f>
        <v>168.80446193634512</v>
      </c>
      <c r="Q3" t="s">
        <v>55</v>
      </c>
      <c r="R3" s="18">
        <v>579271</v>
      </c>
      <c r="S3" s="18">
        <v>318869.55084600003</v>
      </c>
      <c r="T3" s="18">
        <v>28774</v>
      </c>
      <c r="U3" s="18">
        <f>Table79[[#This Row],[Claims]]/Table79[[#This Row],[Exposure]]</f>
        <v>9.0237527928455533E-2</v>
      </c>
      <c r="V3" s="19">
        <v>40045353.490000002</v>
      </c>
      <c r="W3" s="18">
        <f>Table79[[#This Row],[Claim Amount]]/Table79[[#This Row],[Exposure]]</f>
        <v>125.58537929932403</v>
      </c>
      <c r="Y3" t="s">
        <v>79</v>
      </c>
      <c r="Z3" s="18">
        <v>103957</v>
      </c>
      <c r="AA3" s="18">
        <v>61969.377615999998</v>
      </c>
      <c r="AB3" s="18">
        <v>5063</v>
      </c>
      <c r="AC3" s="18">
        <f>Table797[[#This Row],[Claims]]/Table797[[#This Row],[Exposure]]</f>
        <v>8.1701643533898818E-2</v>
      </c>
      <c r="AD3" s="19">
        <v>7739630.6699999999</v>
      </c>
      <c r="AE3" s="18">
        <f>Table797[[#This Row],[Claim Amount]]/Table797[[#This Row],[Exposure]]</f>
        <v>124.89443928192186</v>
      </c>
      <c r="AG3" s="16" t="s">
        <v>80</v>
      </c>
      <c r="AH3" s="18">
        <v>389146</v>
      </c>
      <c r="AI3" s="18">
        <v>210771.19593700001</v>
      </c>
      <c r="AJ3" s="18">
        <v>21358</v>
      </c>
      <c r="AK3" s="18">
        <f>Table710[[#This Row],[Claims]]/Table710[[#This Row],[Exposure]]</f>
        <v>0.10133263183828949</v>
      </c>
      <c r="AL3" s="19">
        <v>32633777.399999999</v>
      </c>
      <c r="AM3" s="18">
        <f>Table710[[#This Row],[Claim Amount]]/Table710[[#This Row],[Exposure]]</f>
        <v>154.83034697850417</v>
      </c>
      <c r="AO3" t="s">
        <v>81</v>
      </c>
      <c r="AP3" s="18">
        <v>628628</v>
      </c>
      <c r="AQ3" s="18">
        <v>336230.22304399998</v>
      </c>
      <c r="AR3" s="18">
        <v>33155</v>
      </c>
      <c r="AS3" s="18">
        <f>Table79711[[#This Row],[Claims]]/Table79711[[#This Row],[Exposure]]</f>
        <v>9.8608030235465327E-2</v>
      </c>
      <c r="AT3" s="19">
        <v>55490391.490000002</v>
      </c>
      <c r="AU3" s="18">
        <f>Table79711[[#This Row],[Claim Amount]]/Table79711[[#This Row],[Exposure]]</f>
        <v>165.03689343458689</v>
      </c>
      <c r="AW3" t="s">
        <v>82</v>
      </c>
      <c r="AX3" s="18">
        <v>4567</v>
      </c>
      <c r="AY3" s="18">
        <v>2395.9945389999998</v>
      </c>
      <c r="AZ3" s="18">
        <v>259</v>
      </c>
      <c r="BA3" s="18">
        <f>Table7971112[[#This Row],[Claims]]/Table7971112[[#This Row],[Exposure]]</f>
        <v>0.10809707442325686</v>
      </c>
      <c r="BB3" s="19">
        <v>280285.14</v>
      </c>
      <c r="BC3" s="18">
        <f>Table7971112[[#This Row],[Claim Amount]]/Table7971112[[#This Row],[Exposure]]</f>
        <v>116.98070902823541</v>
      </c>
    </row>
    <row r="4" spans="1:55">
      <c r="A4" s="5" t="s">
        <v>56</v>
      </c>
      <c r="B4" s="20">
        <v>28285</v>
      </c>
      <c r="C4" s="20">
        <v>64598.614285000003</v>
      </c>
      <c r="D4" s="20">
        <v>6396</v>
      </c>
      <c r="E4" s="20">
        <f t="shared" ref="E4:E9" si="0">D4/C4</f>
        <v>9.9011411789450277E-2</v>
      </c>
      <c r="F4" s="22">
        <v>12284481.34</v>
      </c>
      <c r="G4" s="21">
        <v>140.56845300000001</v>
      </c>
      <c r="I4" t="s">
        <v>83</v>
      </c>
      <c r="J4" s="18">
        <v>11441</v>
      </c>
      <c r="K4" s="18">
        <v>6982.9774360000001</v>
      </c>
      <c r="L4" s="18">
        <v>397</v>
      </c>
      <c r="M4" s="18">
        <f>Table7[[#This Row],[Claims]]/Table7[[#This Row],[Exposure]]</f>
        <v>5.6852539427280482E-2</v>
      </c>
      <c r="N4" s="19">
        <v>595080.72</v>
      </c>
      <c r="O4" s="18">
        <f>Table7[[#This Row],[Claim Amount]]/Table7[[#This Row],[Exposure]]</f>
        <v>85.218765985426842</v>
      </c>
      <c r="Q4" t="s">
        <v>84</v>
      </c>
      <c r="R4" s="18">
        <v>71417</v>
      </c>
      <c r="S4" s="18">
        <v>29816.781649</v>
      </c>
      <c r="T4" s="18">
        <v>4265</v>
      </c>
      <c r="U4" s="18">
        <f>Table79[[#This Row],[Claims]]/Table79[[#This Row],[Exposure]]</f>
        <v>0.14304025331127715</v>
      </c>
      <c r="V4" s="19">
        <v>7116884.8700000001</v>
      </c>
      <c r="W4" s="18">
        <f>Table79[[#This Row],[Claim Amount]]/Table79[[#This Row],[Exposure]]</f>
        <v>238.6872249922616</v>
      </c>
      <c r="Y4" t="s">
        <v>85</v>
      </c>
      <c r="Z4" s="18">
        <v>75459</v>
      </c>
      <c r="AA4" s="18">
        <v>43012.323855000002</v>
      </c>
      <c r="AB4" s="18">
        <v>3800</v>
      </c>
      <c r="AC4" s="18">
        <f>Table797[[#This Row],[Claims]]/Table797[[#This Row],[Exposure]]</f>
        <v>8.8346772725191078E-2</v>
      </c>
      <c r="AD4" s="19">
        <v>8873979.5199999996</v>
      </c>
      <c r="AE4" s="18">
        <f>Table797[[#This Row],[Claim Amount]]/Table797[[#This Row],[Exposure]]</f>
        <v>206.31248732143163</v>
      </c>
      <c r="AG4" s="16" t="s">
        <v>86</v>
      </c>
      <c r="AH4" s="18">
        <v>222441</v>
      </c>
      <c r="AI4" s="18">
        <v>115982.366452</v>
      </c>
      <c r="AJ4" s="18">
        <v>11303</v>
      </c>
      <c r="AK4" s="18">
        <f>Table710[[#This Row],[Claims]]/Table710[[#This Row],[Exposure]]</f>
        <v>9.7454469552298834E-2</v>
      </c>
      <c r="AL4" s="19">
        <v>21646115.32</v>
      </c>
      <c r="AM4" s="18">
        <f>Table710[[#This Row],[Claim Amount]]/Table710[[#This Row],[Exposure]]</f>
        <v>186.6328130919658</v>
      </c>
      <c r="AO4" t="s">
        <v>87</v>
      </c>
      <c r="AP4" s="18">
        <v>31430</v>
      </c>
      <c r="AQ4" s="18">
        <v>14139.067714999999</v>
      </c>
      <c r="AR4" s="18">
        <v>1816</v>
      </c>
      <c r="AS4" s="18">
        <f>Table79711[[#This Row],[Claims]]/Table79711[[#This Row],[Exposure]]</f>
        <v>0.12843845411910881</v>
      </c>
      <c r="AT4" s="19">
        <v>3239218.59</v>
      </c>
      <c r="AU4" s="18">
        <f>Table79711[[#This Row],[Claim Amount]]/Table79711[[#This Row],[Exposure]]</f>
        <v>229.09704198980137</v>
      </c>
      <c r="AW4" t="s">
        <v>88</v>
      </c>
      <c r="AX4" s="18">
        <v>160601</v>
      </c>
      <c r="AY4" s="18">
        <v>102712.903276</v>
      </c>
      <c r="AZ4" s="18">
        <v>9204</v>
      </c>
      <c r="BA4" s="18">
        <f>Table7971112[[#This Row],[Claims]]/Table7971112[[#This Row],[Exposure]]</f>
        <v>8.9608994648587806E-2</v>
      </c>
      <c r="BB4" s="19">
        <v>19074802.359999999</v>
      </c>
      <c r="BC4" s="18">
        <f>Table7971112[[#This Row],[Claim Amount]]/Table7971112[[#This Row],[Exposure]]</f>
        <v>185.70989380705237</v>
      </c>
    </row>
    <row r="5" spans="1:55">
      <c r="A5" s="5" t="s">
        <v>58</v>
      </c>
      <c r="B5" s="20">
        <v>33983</v>
      </c>
      <c r="C5" s="20">
        <v>87391.452357999995</v>
      </c>
      <c r="D5" s="20">
        <v>8145</v>
      </c>
      <c r="E5" s="20">
        <f t="shared" si="0"/>
        <v>9.3201334686988865E-2</v>
      </c>
      <c r="F5" s="22">
        <v>4123771.44</v>
      </c>
      <c r="G5" s="21">
        <v>128.03884199999999</v>
      </c>
      <c r="I5" t="s">
        <v>89</v>
      </c>
      <c r="J5" s="18">
        <v>166</v>
      </c>
      <c r="K5" s="18">
        <v>120.36273199999999</v>
      </c>
      <c r="L5" s="18">
        <v>1</v>
      </c>
      <c r="M5" s="18">
        <f>Table7[[#This Row],[Claims]]/Table7[[#This Row],[Exposure]]</f>
        <v>8.3082195242959421E-3</v>
      </c>
      <c r="N5" s="19">
        <v>0</v>
      </c>
      <c r="O5" s="18">
        <f>Table7[[#This Row],[Claim Amount]]/Table7[[#This Row],[Exposure]]</f>
        <v>0</v>
      </c>
      <c r="Q5" t="s">
        <v>90</v>
      </c>
      <c r="R5" s="18">
        <v>25059</v>
      </c>
      <c r="S5" s="18">
        <v>8806.7663229999998</v>
      </c>
      <c r="T5" s="18">
        <v>2591</v>
      </c>
      <c r="U5" s="18">
        <f>Table79[[#This Row],[Claims]]/Table79[[#This Row],[Exposure]]</f>
        <v>0.29420560339307189</v>
      </c>
      <c r="V5" s="19">
        <v>11747623.9</v>
      </c>
      <c r="W5" s="18">
        <f>Table79[[#This Row],[Claim Amount]]/Table79[[#This Row],[Exposure]]</f>
        <v>1333.9316009009542</v>
      </c>
      <c r="Y5" t="s">
        <v>91</v>
      </c>
      <c r="Z5" s="18">
        <v>191880</v>
      </c>
      <c r="AA5" s="18">
        <v>104449.003601</v>
      </c>
      <c r="AB5" s="18">
        <v>9875</v>
      </c>
      <c r="AC5" s="18">
        <f>Table797[[#This Row],[Claims]]/Table797[[#This Row],[Exposure]]</f>
        <v>9.4543745364225343E-2</v>
      </c>
      <c r="AD5" s="19">
        <v>14612072.43</v>
      </c>
      <c r="AE5" s="18">
        <f>Table797[[#This Row],[Claim Amount]]/Table797[[#This Row],[Exposure]]</f>
        <v>139.89671443701644</v>
      </c>
      <c r="AG5" s="16" t="s">
        <v>92</v>
      </c>
      <c r="AH5" s="18">
        <v>57920</v>
      </c>
      <c r="AI5" s="18">
        <v>27664.827549000001</v>
      </c>
      <c r="AJ5" s="18">
        <v>3045</v>
      </c>
      <c r="AK5" s="18">
        <f>Table710[[#This Row],[Claims]]/Table710[[#This Row],[Exposure]]</f>
        <v>0.1100675576092672</v>
      </c>
      <c r="AL5" s="19">
        <v>4873126.7699999996</v>
      </c>
      <c r="AM5" s="18">
        <f>Table710[[#This Row],[Claim Amount]]/Table710[[#This Row],[Exposure]]</f>
        <v>176.14882150878069</v>
      </c>
      <c r="AO5" t="s">
        <v>93</v>
      </c>
      <c r="AP5" s="18">
        <v>3258</v>
      </c>
      <c r="AQ5" s="18">
        <v>1339.919506</v>
      </c>
      <c r="AR5" s="18">
        <v>194</v>
      </c>
      <c r="AS5" s="18">
        <f>Table79711[[#This Row],[Claims]]/Table79711[[#This Row],[Exposure]]</f>
        <v>0.14478481664853082</v>
      </c>
      <c r="AT5" s="19">
        <v>180182.14</v>
      </c>
      <c r="AU5" s="18">
        <f>Table79711[[#This Row],[Claim Amount]]/Table79711[[#This Row],[Exposure]]</f>
        <v>134.47236135690679</v>
      </c>
      <c r="AW5" t="s">
        <v>94</v>
      </c>
      <c r="AX5" s="18">
        <v>4516</v>
      </c>
      <c r="AY5" s="18">
        <v>1765.935393</v>
      </c>
      <c r="AZ5" s="18">
        <v>247</v>
      </c>
      <c r="BA5" s="18">
        <f>Table7971112[[#This Row],[Claims]]/Table7971112[[#This Row],[Exposure]]</f>
        <v>0.13986921660842436</v>
      </c>
      <c r="BB5" s="19">
        <v>464582.55</v>
      </c>
      <c r="BC5" s="18">
        <f>Table7971112[[#This Row],[Claim Amount]]/Table7971112[[#This Row],[Exposure]]</f>
        <v>263.08015108681838</v>
      </c>
    </row>
    <row r="6" spans="1:55">
      <c r="A6" s="5" t="s">
        <v>60</v>
      </c>
      <c r="B6" s="20">
        <v>32809</v>
      </c>
      <c r="C6" s="20">
        <v>89852.746331999995</v>
      </c>
      <c r="D6" s="20">
        <v>9513</v>
      </c>
      <c r="E6" s="20">
        <f t="shared" si="0"/>
        <v>0.10587322467418069</v>
      </c>
      <c r="F6" s="22">
        <v>6697343.5700000003</v>
      </c>
      <c r="G6" s="21">
        <v>119.21870800000001</v>
      </c>
      <c r="I6" t="s">
        <v>95</v>
      </c>
      <c r="J6" s="18">
        <v>21</v>
      </c>
      <c r="K6" s="18">
        <v>9.25</v>
      </c>
      <c r="L6" s="18">
        <v>1</v>
      </c>
      <c r="M6" s="18">
        <f>Table7[[#This Row],[Claims]]/Table7[[#This Row],[Exposure]]</f>
        <v>0.10810810810810811</v>
      </c>
      <c r="N6" s="19">
        <v>434.07</v>
      </c>
      <c r="O6" s="18">
        <f>Table7[[#This Row],[Claim Amount]]/Table7[[#This Row],[Exposure]]</f>
        <v>46.926486486486489</v>
      </c>
      <c r="Q6" t="s">
        <v>96</v>
      </c>
      <c r="R6" s="18">
        <v>1739</v>
      </c>
      <c r="S6" s="18">
        <v>756.01950299999999</v>
      </c>
      <c r="T6" s="18">
        <v>346</v>
      </c>
      <c r="U6" s="18">
        <f>Table79[[#This Row],[Claims]]/Table79[[#This Row],[Exposure]]</f>
        <v>0.45766015112972558</v>
      </c>
      <c r="V6" s="19">
        <v>506939.51</v>
      </c>
      <c r="W6" s="18">
        <f>Table79[[#This Row],[Claim Amount]]/Table79[[#This Row],[Exposure]]</f>
        <v>670.53760913360986</v>
      </c>
      <c r="Y6" t="s">
        <v>97</v>
      </c>
      <c r="Z6" s="18">
        <v>151595</v>
      </c>
      <c r="AA6" s="18">
        <v>77119.271554999999</v>
      </c>
      <c r="AB6" s="18">
        <v>8428</v>
      </c>
      <c r="AC6" s="18">
        <f>Table797[[#This Row],[Claims]]/Table797[[#This Row],[Exposure]]</f>
        <v>0.10928526463050563</v>
      </c>
      <c r="AD6" s="19">
        <v>14486501.16</v>
      </c>
      <c r="AE6" s="18">
        <f>Table797[[#This Row],[Claim Amount]]/Table797[[#This Row],[Exposure]]</f>
        <v>187.84540968684465</v>
      </c>
      <c r="AG6" s="17" t="s">
        <v>98</v>
      </c>
      <c r="AH6" s="18">
        <v>8505</v>
      </c>
      <c r="AI6" s="18">
        <v>4080.1348750000002</v>
      </c>
      <c r="AJ6" s="18">
        <v>396</v>
      </c>
      <c r="AK6" s="18">
        <f>Table710[[#This Row],[Claims]]/Table710[[#This Row],[Exposure]]</f>
        <v>9.7055615103900206E-2</v>
      </c>
      <c r="AL6" s="19">
        <v>756197.01</v>
      </c>
      <c r="AM6" s="18">
        <f>Table710[[#This Row],[Claim Amount]]/Table710[[#This Row],[Exposure]]</f>
        <v>185.3362776395964</v>
      </c>
      <c r="AO6" t="s">
        <v>99</v>
      </c>
      <c r="AP6" s="18">
        <v>3388</v>
      </c>
      <c r="AQ6" s="18">
        <v>1545.677897</v>
      </c>
      <c r="AR6" s="18">
        <v>203</v>
      </c>
      <c r="AS6" s="18">
        <f>Table79711[[#This Row],[Claims]]/Table79711[[#This Row],[Exposure]]</f>
        <v>0.13133396058389776</v>
      </c>
      <c r="AT6" s="19">
        <v>244983.65</v>
      </c>
      <c r="AU6" s="18">
        <f>Table79711[[#This Row],[Claim Amount]]/Table79711[[#This Row],[Exposure]]</f>
        <v>158.4959262699478</v>
      </c>
      <c r="AW6" t="s">
        <v>100</v>
      </c>
      <c r="AX6" s="18">
        <v>1326</v>
      </c>
      <c r="AY6" s="18">
        <v>564.01294499999995</v>
      </c>
      <c r="AZ6" s="18">
        <v>57</v>
      </c>
      <c r="BA6" s="18">
        <f>Table7971112[[#This Row],[Claims]]/Table7971112[[#This Row],[Exposure]]</f>
        <v>0.10106151021055024</v>
      </c>
      <c r="BB6" s="19">
        <v>76534.11</v>
      </c>
      <c r="BC6" s="18">
        <f>Table7971112[[#This Row],[Claim Amount]]/Table7971112[[#This Row],[Exposure]]</f>
        <v>135.69566209158552</v>
      </c>
    </row>
    <row r="7" spans="1:55">
      <c r="A7" s="5" t="s">
        <v>62</v>
      </c>
      <c r="B7" s="20">
        <v>19866</v>
      </c>
      <c r="C7" s="20">
        <v>56176.951015999999</v>
      </c>
      <c r="D7" s="20">
        <v>5124</v>
      </c>
      <c r="E7" s="20">
        <f t="shared" si="0"/>
        <v>9.1211785391140429E-2</v>
      </c>
      <c r="F7" s="22">
        <v>12569823.09</v>
      </c>
      <c r="G7" s="21">
        <v>139.89358799999999</v>
      </c>
      <c r="I7" t="s">
        <v>101</v>
      </c>
      <c r="J7" s="18">
        <v>59</v>
      </c>
      <c r="K7" s="18">
        <v>34.385463999999999</v>
      </c>
      <c r="L7" s="18">
        <v>2</v>
      </c>
      <c r="M7" s="18">
        <f>Table7[[#This Row],[Claims]]/Table7[[#This Row],[Exposure]]</f>
        <v>5.8164112602930126E-2</v>
      </c>
      <c r="N7" s="19">
        <v>3992.5</v>
      </c>
      <c r="O7" s="18">
        <f>Table7[[#This Row],[Claim Amount]]/Table7[[#This Row],[Exposure]]</f>
        <v>116.11010978359926</v>
      </c>
      <c r="Q7" t="s">
        <v>102</v>
      </c>
      <c r="R7" s="18">
        <v>461</v>
      </c>
      <c r="S7" s="18">
        <v>220.00649200000001</v>
      </c>
      <c r="T7" s="18">
        <v>108</v>
      </c>
      <c r="U7" s="18">
        <f>Table79[[#This Row],[Claims]]/Table79[[#This Row],[Exposure]]</f>
        <v>0.49089460505556354</v>
      </c>
      <c r="V7" s="19">
        <v>466099.75</v>
      </c>
      <c r="W7" s="18">
        <f>Table79[[#This Row],[Claim Amount]]/Table79[[#This Row],[Exposure]]</f>
        <v>2118.5727101180269</v>
      </c>
      <c r="Y7" t="s">
        <v>103</v>
      </c>
      <c r="Z7" s="18">
        <v>137167</v>
      </c>
      <c r="AA7" s="18">
        <v>63819.314132</v>
      </c>
      <c r="AB7" s="18">
        <v>7805</v>
      </c>
      <c r="AC7" s="18">
        <f>Table797[[#This Row],[Claims]]/Table797[[#This Row],[Exposure]]</f>
        <v>0.12229839988340538</v>
      </c>
      <c r="AD7" s="19">
        <v>13017426.300000001</v>
      </c>
      <c r="AE7" s="18">
        <f>Table797[[#This Row],[Claim Amount]]/Table797[[#This Row],[Exposure]]</f>
        <v>203.97314632801513</v>
      </c>
      <c r="AO7" t="s">
        <v>104</v>
      </c>
      <c r="AP7" s="18">
        <v>793</v>
      </c>
      <c r="AQ7" s="18">
        <v>357.32928399999997</v>
      </c>
      <c r="AR7" s="18">
        <v>51</v>
      </c>
      <c r="AS7" s="18">
        <f>Table79711[[#This Row],[Claims]]/Table79711[[#This Row],[Exposure]]</f>
        <v>0.14272549797513936</v>
      </c>
      <c r="AT7" s="19">
        <v>42273.2</v>
      </c>
      <c r="AU7" s="18">
        <f>Table79711[[#This Row],[Claim Amount]]/Table79711[[#This Row],[Exposure]]</f>
        <v>118.30320629416984</v>
      </c>
      <c r="AW7" t="s">
        <v>105</v>
      </c>
      <c r="AX7" s="18">
        <v>38751</v>
      </c>
      <c r="AY7" s="18">
        <v>21934.031131</v>
      </c>
      <c r="AZ7" s="18">
        <v>2010</v>
      </c>
      <c r="BA7" s="18">
        <f>Table7971112[[#This Row],[Claims]]/Table7971112[[#This Row],[Exposure]]</f>
        <v>9.163842195697483E-2</v>
      </c>
      <c r="BB7" s="19">
        <v>2570964.9300000002</v>
      </c>
      <c r="BC7" s="18">
        <f>Table7971112[[#This Row],[Claim Amount]]/Table7971112[[#This Row],[Exposure]]</f>
        <v>117.21351696115636</v>
      </c>
    </row>
    <row r="8" spans="1:55">
      <c r="A8" s="5" t="s">
        <v>64</v>
      </c>
      <c r="B8" s="20">
        <v>10152</v>
      </c>
      <c r="C8" s="20">
        <v>32207.190930000001</v>
      </c>
      <c r="D8" s="20">
        <v>2986</v>
      </c>
      <c r="E8" s="20">
        <f>D8/C8</f>
        <v>9.2712214688013467E-2</v>
      </c>
      <c r="F8" s="22">
        <v>9957419.9100000001</v>
      </c>
      <c r="G8" s="21">
        <v>154.142933</v>
      </c>
      <c r="Q8" t="s">
        <v>65</v>
      </c>
      <c r="R8" s="18">
        <v>65</v>
      </c>
      <c r="S8" s="18">
        <v>29.4</v>
      </c>
      <c r="T8" s="18">
        <v>18</v>
      </c>
      <c r="U8" s="18">
        <f>Table79[[#This Row],[Claims]]/Table79[[#This Row],[Exposure]]</f>
        <v>0.61224489795918369</v>
      </c>
      <c r="V8" s="19">
        <v>26314.98</v>
      </c>
      <c r="W8" s="18">
        <f>Table79[[#This Row],[Claim Amount]]/Table79[[#This Row],[Exposure]]</f>
        <v>895.06734693877559</v>
      </c>
      <c r="Y8" t="s">
        <v>106</v>
      </c>
      <c r="Z8" s="18">
        <v>17954</v>
      </c>
      <c r="AA8" s="18">
        <v>8129.2340539999996</v>
      </c>
      <c r="AB8" s="18">
        <v>1131</v>
      </c>
      <c r="AC8" s="18">
        <f>Table797[[#This Row],[Claims]]/Table797[[#This Row],[Exposure]]</f>
        <v>0.13912749866557109</v>
      </c>
      <c r="AD8" s="19">
        <v>1179606.42</v>
      </c>
      <c r="AE8" s="18">
        <f>Table797[[#This Row],[Claim Amount]]/Table797[[#This Row],[Exposure]]</f>
        <v>145.10671142745278</v>
      </c>
      <c r="AO8" t="s">
        <v>107</v>
      </c>
      <c r="AP8" s="18">
        <v>10515</v>
      </c>
      <c r="AQ8" s="18">
        <v>4886.3073670000003</v>
      </c>
      <c r="AR8" s="18">
        <v>683</v>
      </c>
      <c r="AS8" s="18">
        <f>Table79711[[#This Row],[Claims]]/Table79711[[#This Row],[Exposure]]</f>
        <v>0.13977835381635745</v>
      </c>
      <c r="AT8" s="19">
        <v>712167.43</v>
      </c>
      <c r="AU8" s="18">
        <f>Table79711[[#This Row],[Claim Amount]]/Table79711[[#This Row],[Exposure]]</f>
        <v>145.74757102053584</v>
      </c>
      <c r="AW8" t="s">
        <v>108</v>
      </c>
      <c r="AX8" s="18">
        <v>84751</v>
      </c>
      <c r="AY8" s="18">
        <v>45346.497207</v>
      </c>
      <c r="AZ8" s="18">
        <v>5032</v>
      </c>
      <c r="BA8" s="18">
        <f>Table7971112[[#This Row],[Claims]]/Table7971112[[#This Row],[Exposure]]</f>
        <v>0.11096777722498984</v>
      </c>
      <c r="BB8" s="19">
        <v>10278303.85</v>
      </c>
      <c r="BC8" s="18">
        <f>Table7971112[[#This Row],[Claim Amount]]/Table7971112[[#This Row],[Exposure]]</f>
        <v>226.66147294863978</v>
      </c>
    </row>
    <row r="9" spans="1:55">
      <c r="A9" s="5" t="s">
        <v>66</v>
      </c>
      <c r="B9" s="20">
        <v>4468</v>
      </c>
      <c r="C9" s="20">
        <v>15783.328847000001</v>
      </c>
      <c r="D9" s="20">
        <v>1574</v>
      </c>
      <c r="E9" s="20">
        <f>D9/C9</f>
        <v>9.9725477132105528E-2</v>
      </c>
      <c r="F9" s="22">
        <v>2535032.94</v>
      </c>
      <c r="G9" s="21">
        <v>160.61459300000001</v>
      </c>
      <c r="AW9" t="s">
        <v>109</v>
      </c>
      <c r="AX9" s="18">
        <v>69791</v>
      </c>
      <c r="AY9" s="18">
        <v>30208.641863000001</v>
      </c>
      <c r="AZ9" s="18">
        <v>3978</v>
      </c>
      <c r="BA9" s="18">
        <f>Table7971112[[#This Row],[Claims]]/Table7971112[[#This Row],[Exposure]]</f>
        <v>0.13168417229879886</v>
      </c>
      <c r="BB9" s="19">
        <v>4563221.8600000003</v>
      </c>
      <c r="BC9" s="18">
        <f>Table7971112[[#This Row],[Claim Amount]]/Table7971112[[#This Row],[Exposure]]</f>
        <v>151.05683601052925</v>
      </c>
    </row>
    <row r="10" spans="1:55">
      <c r="AW10" t="s">
        <v>110</v>
      </c>
      <c r="AX10" s="18">
        <v>31329</v>
      </c>
      <c r="AY10" s="18">
        <v>14322.166663</v>
      </c>
      <c r="AZ10" s="18">
        <v>1348</v>
      </c>
      <c r="BA10" s="18">
        <f>Table7971112[[#This Row],[Claims]]/Table7971112[[#This Row],[Exposure]]</f>
        <v>9.4119837571952997E-2</v>
      </c>
      <c r="BB10" s="19">
        <v>1916138.54</v>
      </c>
      <c r="BC10" s="18">
        <f>Table7971112[[#This Row],[Claim Amount]]/Table7971112[[#This Row],[Exposure]]</f>
        <v>133.78831465145339</v>
      </c>
    </row>
    <row r="11" spans="1:55">
      <c r="AW11" t="s">
        <v>111</v>
      </c>
      <c r="AX11" s="18">
        <v>17141</v>
      </c>
      <c r="AY11" s="18">
        <v>7020.108534</v>
      </c>
      <c r="AZ11" s="18">
        <v>688</v>
      </c>
      <c r="BA11" s="18">
        <f>Table7971112[[#This Row],[Claims]]/Table7971112[[#This Row],[Exposure]]</f>
        <v>9.8004182794020608E-2</v>
      </c>
      <c r="BB11" s="19">
        <v>539385.27</v>
      </c>
      <c r="BC11" s="18">
        <f>Table7971112[[#This Row],[Claim Amount]]/Table7971112[[#This Row],[Exposure]]</f>
        <v>76.83432063587523</v>
      </c>
    </row>
    <row r="12" spans="1:55">
      <c r="AW12" t="s">
        <v>112</v>
      </c>
      <c r="AX12" s="18">
        <v>10893</v>
      </c>
      <c r="AY12" s="18">
        <v>6657.9011300000002</v>
      </c>
      <c r="AZ12" s="18">
        <v>633</v>
      </c>
      <c r="BA12" s="18">
        <f>Table7971112[[#This Row],[Claims]]/Table7971112[[#This Row],[Exposure]]</f>
        <v>9.5075007519674598E-2</v>
      </c>
      <c r="BB12" s="19">
        <v>929847.31</v>
      </c>
      <c r="BC12" s="18">
        <f>Table7971112[[#This Row],[Claim Amount]]/Table7971112[[#This Row],[Exposure]]</f>
        <v>139.66072668309511</v>
      </c>
    </row>
    <row r="13" spans="1:55">
      <c r="AW13" t="s">
        <v>113</v>
      </c>
      <c r="AX13" s="18">
        <v>79315</v>
      </c>
      <c r="AY13" s="18">
        <v>35790.320937999997</v>
      </c>
      <c r="AZ13" s="18">
        <v>3907</v>
      </c>
      <c r="BA13" s="18">
        <f>Table7971112[[#This Row],[Claims]]/Table7971112[[#This Row],[Exposure]]</f>
        <v>0.1091635922116525</v>
      </c>
      <c r="BB13" s="19">
        <v>6871024.7999999998</v>
      </c>
      <c r="BC13" s="18">
        <f>Table7971112[[#This Row],[Claim Amount]]/Table7971112[[#This Row],[Exposure]]</f>
        <v>191.97997167733584</v>
      </c>
    </row>
    <row r="14" spans="1:55">
      <c r="AW14" t="s">
        <v>114</v>
      </c>
      <c r="AX14" s="18">
        <v>8784</v>
      </c>
      <c r="AY14" s="18">
        <v>3177.6821799999998</v>
      </c>
      <c r="AZ14" s="18">
        <v>303</v>
      </c>
      <c r="BA14" s="18">
        <f>Table7971112[[#This Row],[Claims]]/Table7971112[[#This Row],[Exposure]]</f>
        <v>9.5352518860146049E-2</v>
      </c>
      <c r="BB14" s="19">
        <v>327493.58</v>
      </c>
      <c r="BC14" s="18">
        <f>Table7971112[[#This Row],[Claim Amount]]/Table7971112[[#This Row],[Exposure]]</f>
        <v>103.06052067170545</v>
      </c>
    </row>
    <row r="15" spans="1:55">
      <c r="AW15" t="s">
        <v>115</v>
      </c>
      <c r="AX15" s="18">
        <v>2200</v>
      </c>
      <c r="AY15" s="18">
        <v>1209.1158230000001</v>
      </c>
      <c r="AZ15" s="18">
        <v>133</v>
      </c>
      <c r="BA15" s="18">
        <f>Table7971112[[#This Row],[Claims]]/Table7971112[[#This Row],[Exposure]]</f>
        <v>0.10999773344294411</v>
      </c>
      <c r="BB15" s="19">
        <v>121424.99</v>
      </c>
      <c r="BC15" s="18">
        <f>Table7971112[[#This Row],[Claim Amount]]/Table7971112[[#This Row],[Exposure]]</f>
        <v>100.42461416039214</v>
      </c>
    </row>
    <row r="16" spans="1:55">
      <c r="AW16" t="s">
        <v>116</v>
      </c>
      <c r="AX16" s="18">
        <v>35805</v>
      </c>
      <c r="AY16" s="18">
        <v>14736.104138999999</v>
      </c>
      <c r="AZ16" s="18">
        <v>1547</v>
      </c>
      <c r="BA16" s="18">
        <f>Table7971112[[#This Row],[Claims]]/Table7971112[[#This Row],[Exposure]]</f>
        <v>0.10498025702097002</v>
      </c>
      <c r="BB16" s="19">
        <v>2030911.08</v>
      </c>
      <c r="BC16" s="18">
        <f>Table7971112[[#This Row],[Claim Amount]]/Table7971112[[#This Row],[Exposure]]</f>
        <v>137.81872473505871</v>
      </c>
    </row>
    <row r="17" spans="49:55">
      <c r="AW17" t="s">
        <v>117</v>
      </c>
      <c r="AX17" s="18">
        <v>42122</v>
      </c>
      <c r="AY17" s="18">
        <v>27753.463623</v>
      </c>
      <c r="AZ17" s="18">
        <v>2702</v>
      </c>
      <c r="BA17" s="18">
        <f>Table7971112[[#This Row],[Claims]]/Table7971112[[#This Row],[Exposure]]</f>
        <v>9.7357217704560087E-2</v>
      </c>
      <c r="BB17" s="19">
        <v>3901051.25</v>
      </c>
      <c r="BC17" s="18">
        <f>Table7971112[[#This Row],[Claim Amount]]/Table7971112[[#This Row],[Exposure]]</f>
        <v>140.56087928308523</v>
      </c>
    </row>
    <row r="18" spans="49:55">
      <c r="AW18" t="s">
        <v>118</v>
      </c>
      <c r="AX18" s="18">
        <v>3026</v>
      </c>
      <c r="AY18" s="18">
        <v>1205.83151</v>
      </c>
      <c r="AZ18" s="18">
        <v>160</v>
      </c>
      <c r="BA18" s="18">
        <f>Table7971112[[#This Row],[Claims]]/Table7971112[[#This Row],[Exposure]]</f>
        <v>0.13268852130095687</v>
      </c>
      <c r="BB18" s="19">
        <v>481248.34</v>
      </c>
      <c r="BC18" s="18">
        <f>Table7971112[[#This Row],[Claim Amount]]/Table7971112[[#This Row],[Exposure]]</f>
        <v>399.10081633212587</v>
      </c>
    </row>
    <row r="19" spans="49:55">
      <c r="AW19" t="s">
        <v>119</v>
      </c>
      <c r="AX19" s="18">
        <v>19046</v>
      </c>
      <c r="AY19" s="18">
        <v>11163.408697000001</v>
      </c>
      <c r="AZ19" s="18">
        <v>968</v>
      </c>
      <c r="BA19" s="18">
        <f>Table7971112[[#This Row],[Claims]]/Table7971112[[#This Row],[Exposure]]</f>
        <v>8.6711866086219308E-2</v>
      </c>
      <c r="BB19" s="19">
        <v>1305107.78</v>
      </c>
      <c r="BC19" s="18">
        <f>Table7971112[[#This Row],[Claim Amount]]/Table7971112[[#This Row],[Exposure]]</f>
        <v>116.90943290025101</v>
      </c>
    </row>
    <row r="20" spans="49:55">
      <c r="AW20" t="s">
        <v>120</v>
      </c>
      <c r="AX20" s="18">
        <v>7994</v>
      </c>
      <c r="AY20" s="18">
        <v>3574.4102050000001</v>
      </c>
      <c r="AZ20" s="18">
        <v>439</v>
      </c>
      <c r="BA20" s="18">
        <f>Table7971112[[#This Row],[Claims]]/Table7971112[[#This Row],[Exposure]]</f>
        <v>0.12281746493055348</v>
      </c>
      <c r="BB20" s="19">
        <v>687624.87</v>
      </c>
      <c r="BC20" s="18">
        <f>Table7971112[[#This Row],[Claim Amount]]/Table7971112[[#This Row],[Exposure]]</f>
        <v>192.37435844328337</v>
      </c>
    </row>
    <row r="21" spans="49:55">
      <c r="AW21" t="s">
        <v>121</v>
      </c>
      <c r="AX21" s="18">
        <v>10492</v>
      </c>
      <c r="AY21" s="18">
        <v>5025.3585940000003</v>
      </c>
      <c r="AZ21" s="18">
        <v>511</v>
      </c>
      <c r="BA21" s="18">
        <f>Table7971112[[#This Row],[Claims]]/Table7971112[[#This Row],[Exposure]]</f>
        <v>0.10168428589555892</v>
      </c>
      <c r="BB21" s="19">
        <v>636298.04</v>
      </c>
      <c r="BC21" s="18">
        <f>Table7971112[[#This Row],[Claim Amount]]/Table7971112[[#This Row],[Exposure]]</f>
        <v>126.61743994940075</v>
      </c>
    </row>
    <row r="22" spans="49:55">
      <c r="AW22" t="s">
        <v>122</v>
      </c>
      <c r="AX22" s="18">
        <v>5287</v>
      </c>
      <c r="AY22" s="18">
        <v>2322.884219</v>
      </c>
      <c r="AZ22" s="18">
        <v>189</v>
      </c>
      <c r="BA22" s="18">
        <f>Table7971112[[#This Row],[Claims]]/Table7971112[[#This Row],[Exposure]]</f>
        <v>8.1364365237869829E-2</v>
      </c>
      <c r="BB22" s="19">
        <v>183974.83</v>
      </c>
      <c r="BC22" s="18">
        <f>Table7971112[[#This Row],[Claim Amount]]/Table7971112[[#This Row],[Exposure]]</f>
        <v>79.201033135952429</v>
      </c>
    </row>
    <row r="23" spans="49:55">
      <c r="AW23" t="s">
        <v>123</v>
      </c>
      <c r="AX23" s="18">
        <v>40275</v>
      </c>
      <c r="AY23" s="18">
        <v>19611.752204</v>
      </c>
      <c r="AZ23" s="18">
        <v>1787</v>
      </c>
      <c r="BA23" s="18">
        <f>Table7971112[[#This Row],[Claims]]/Table7971112[[#This Row],[Exposure]]</f>
        <v>9.111883433013826E-2</v>
      </c>
      <c r="BB23" s="19">
        <v>2668991.02</v>
      </c>
      <c r="BC23" s="18">
        <f>Table7971112[[#This Row],[Claim Amount]]/Table7971112[[#This Row],[Exposure]]</f>
        <v>136.09141050923714</v>
      </c>
    </row>
    <row r="24" spans="49:55">
      <c r="BA24" s="15"/>
      <c r="BC24" s="15"/>
    </row>
    <row r="25" spans="49:55">
      <c r="BA25" s="15"/>
      <c r="BC25" s="15"/>
    </row>
  </sheetData>
  <mergeCells count="7">
    <mergeCell ref="AO1:AU1"/>
    <mergeCell ref="AW1:BC1"/>
    <mergeCell ref="A1:G1"/>
    <mergeCell ref="I1:O1"/>
    <mergeCell ref="Q1:W1"/>
    <mergeCell ref="Y1:AE1"/>
    <mergeCell ref="AG1:AM1"/>
  </mergeCells>
  <pageMargins left="0.7" right="0.7" top="0.75" bottom="0.75" header="0.3" footer="0.3"/>
  <tableParts count="7">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F9D7-8653-48D1-B374-49B781BF159E}">
  <dimension ref="A1:Y22"/>
  <sheetViews>
    <sheetView topLeftCell="R1" workbookViewId="0">
      <selection activeCell="W2" sqref="W2"/>
    </sheetView>
  </sheetViews>
  <sheetFormatPr defaultRowHeight="15"/>
  <cols>
    <col min="1" max="1" width="27.85546875" bestFit="1" customWidth="1"/>
    <col min="2" max="2" width="11.42578125" bestFit="1" customWidth="1"/>
    <col min="5" max="5" width="18" bestFit="1" customWidth="1"/>
    <col min="6" max="6" width="21.28515625" bestFit="1" customWidth="1"/>
    <col min="7" max="7" width="19.42578125" bestFit="1" customWidth="1"/>
    <col min="8" max="8" width="19" bestFit="1" customWidth="1"/>
    <col min="9" max="9" width="22.42578125" bestFit="1" customWidth="1"/>
    <col min="10" max="10" width="21.140625" bestFit="1" customWidth="1"/>
    <col min="11" max="11" width="14.85546875" bestFit="1" customWidth="1"/>
    <col min="12" max="12" width="22.42578125" bestFit="1" customWidth="1"/>
    <col min="13" max="13" width="21.140625" bestFit="1" customWidth="1"/>
    <col min="14" max="14" width="12.42578125" bestFit="1" customWidth="1"/>
    <col min="15" max="15" width="22.42578125" bestFit="1" customWidth="1"/>
    <col min="16" max="16" width="21.140625" bestFit="1" customWidth="1"/>
    <col min="17" max="17" width="16.28515625" bestFit="1" customWidth="1"/>
    <col min="18" max="18" width="22.42578125" bestFit="1" customWidth="1"/>
    <col min="19" max="19" width="21.140625" bestFit="1" customWidth="1"/>
    <col min="20" max="20" width="14.85546875" bestFit="1" customWidth="1"/>
    <col min="21" max="21" width="22.42578125" bestFit="1" customWidth="1"/>
    <col min="22" max="22" width="21.140625" bestFit="1" customWidth="1"/>
    <col min="23" max="23" width="27.140625" bestFit="1" customWidth="1"/>
    <col min="24" max="24" width="22.42578125" bestFit="1" customWidth="1"/>
    <col min="25" max="25" width="21.140625" bestFit="1" customWidth="1"/>
  </cols>
  <sheetData>
    <row r="1" spans="1:25">
      <c r="A1" t="s">
        <v>33</v>
      </c>
      <c r="B1" t="s">
        <v>34</v>
      </c>
      <c r="E1" t="s">
        <v>124</v>
      </c>
      <c r="F1" t="s">
        <v>125</v>
      </c>
      <c r="G1" t="s">
        <v>126</v>
      </c>
      <c r="H1" t="s">
        <v>127</v>
      </c>
      <c r="I1" t="s">
        <v>128</v>
      </c>
      <c r="J1" t="s">
        <v>129</v>
      </c>
      <c r="K1" t="s">
        <v>130</v>
      </c>
      <c r="L1" t="s">
        <v>131</v>
      </c>
      <c r="M1" t="s">
        <v>132</v>
      </c>
      <c r="N1" t="s">
        <v>15</v>
      </c>
      <c r="O1" t="s">
        <v>133</v>
      </c>
      <c r="P1" t="s">
        <v>134</v>
      </c>
      <c r="Q1" t="s">
        <v>77</v>
      </c>
      <c r="R1" t="s">
        <v>135</v>
      </c>
      <c r="S1" t="s">
        <v>136</v>
      </c>
      <c r="T1" t="s">
        <v>21</v>
      </c>
      <c r="U1" t="s">
        <v>137</v>
      </c>
      <c r="V1" t="s">
        <v>138</v>
      </c>
      <c r="W1" t="s">
        <v>19</v>
      </c>
      <c r="X1" t="s">
        <v>139</v>
      </c>
      <c r="Y1" t="s">
        <v>140</v>
      </c>
    </row>
    <row r="2" spans="1:25">
      <c r="A2" t="s">
        <v>141</v>
      </c>
      <c r="B2" s="23">
        <v>0.108337018660179</v>
      </c>
      <c r="E2" s="5" t="s">
        <v>54</v>
      </c>
      <c r="F2">
        <v>297.96444300000002</v>
      </c>
      <c r="G2" s="18">
        <f>Table13[[#This Row],[Predicted Loss Cost ]]/$B$4</f>
        <v>1.5572303694795337</v>
      </c>
      <c r="H2" t="s">
        <v>78</v>
      </c>
      <c r="I2">
        <v>193.12605400000001</v>
      </c>
      <c r="J2" s="18">
        <f>Table13[[#This Row],[Predicted Loss Cost 2]]/$B$4</f>
        <v>1.0093209558784315</v>
      </c>
      <c r="K2" t="s">
        <v>55</v>
      </c>
      <c r="L2">
        <v>165.73687000000001</v>
      </c>
      <c r="M2" s="18">
        <f>Table13[[#This Row],[Predicted Loss Cost 3]]/$B$4</f>
        <v>0.86617881216948245</v>
      </c>
      <c r="N2" t="s">
        <v>79</v>
      </c>
      <c r="O2">
        <v>154.877633</v>
      </c>
      <c r="P2" s="18">
        <f>Table13[[#This Row],[Predicted Loss Cost 4]]/$B$4</f>
        <v>0.80942595442740672</v>
      </c>
      <c r="Q2" s="16" t="s">
        <v>80</v>
      </c>
      <c r="R2">
        <v>190.17269099999999</v>
      </c>
      <c r="S2" s="18">
        <f>Table13[[#This Row],[Predicted Loss Cost 5]]/$B$4</f>
        <v>0.99388600495142698</v>
      </c>
      <c r="T2" t="s">
        <v>81</v>
      </c>
      <c r="U2">
        <v>186.584811</v>
      </c>
      <c r="V2" s="18">
        <f>Table13[[#This Row],[Predicted Loss Cost 6]]/$B$4</f>
        <v>0.97513492297065452</v>
      </c>
      <c r="W2" t="s">
        <v>82</v>
      </c>
      <c r="X2">
        <v>200.62575100000001</v>
      </c>
      <c r="Y2" s="18">
        <f>Table13[[#This Row],[Predicted Loss Cost 7]]/$B$4</f>
        <v>1.0485160887362621</v>
      </c>
    </row>
    <row r="3" spans="1:25">
      <c r="A3" t="s">
        <v>142</v>
      </c>
      <c r="B3" s="18">
        <v>1769.5325029138901</v>
      </c>
      <c r="E3" s="5" t="s">
        <v>56</v>
      </c>
      <c r="F3">
        <v>218.03128000000001</v>
      </c>
      <c r="G3" s="18">
        <f>Table13[[#This Row],[Predicted Loss Cost ]]/$B$4</f>
        <v>1.1394813666155987</v>
      </c>
      <c r="H3" t="s">
        <v>83</v>
      </c>
      <c r="I3">
        <v>90.819739999999996</v>
      </c>
      <c r="J3" s="18">
        <f>Table13[[#This Row],[Predicted Loss Cost 2]]/$B$4</f>
        <v>0.47464474570287962</v>
      </c>
      <c r="K3" t="s">
        <v>84</v>
      </c>
      <c r="L3">
        <v>301.876441</v>
      </c>
      <c r="M3" s="18">
        <f>Table13[[#This Row],[Predicted Loss Cost 3]]/$B$4</f>
        <v>1.5776753663040146</v>
      </c>
      <c r="N3" t="s">
        <v>85</v>
      </c>
      <c r="O3">
        <v>165.41646399999999</v>
      </c>
      <c r="P3" s="18">
        <f>Table13[[#This Row],[Predicted Loss Cost 4]]/$B$4</f>
        <v>0.86450429708728016</v>
      </c>
      <c r="Q3" s="16" t="s">
        <v>86</v>
      </c>
      <c r="R3">
        <v>190.070232</v>
      </c>
      <c r="S3" s="18">
        <f>Table13[[#This Row],[Predicted Loss Cost 5]]/$B$4</f>
        <v>0.99335053076927271</v>
      </c>
      <c r="T3" t="s">
        <v>87</v>
      </c>
      <c r="U3">
        <v>244.105515</v>
      </c>
      <c r="V3" s="18">
        <f>Table13[[#This Row],[Predicted Loss Cost 6]]/$B$4</f>
        <v>1.2757512859191789</v>
      </c>
      <c r="W3" t="s">
        <v>88</v>
      </c>
      <c r="X3">
        <v>168.107562</v>
      </c>
      <c r="Y3" s="18">
        <f>Table13[[#This Row],[Predicted Loss Cost 7]]/$B$4</f>
        <v>0.87856859110388419</v>
      </c>
    </row>
    <row r="4" spans="1:25">
      <c r="A4" t="s">
        <v>143</v>
      </c>
      <c r="B4" s="18">
        <v>191.34255845497501</v>
      </c>
      <c r="E4" s="5" t="s">
        <v>58</v>
      </c>
      <c r="F4">
        <v>175.38817900000001</v>
      </c>
      <c r="G4" s="18">
        <f>Table13[[#This Row],[Predicted Loss Cost ]]/$B$4</f>
        <v>0.91661876174437562</v>
      </c>
      <c r="H4" t="s">
        <v>89</v>
      </c>
      <c r="I4">
        <v>27.264112000000001</v>
      </c>
      <c r="J4" s="18">
        <f>Table13[[#This Row],[Predicted Loss Cost 2]]/$B$4</f>
        <v>0.14248848881371859</v>
      </c>
      <c r="K4" t="s">
        <v>90</v>
      </c>
      <c r="L4">
        <v>416.10254300000003</v>
      </c>
      <c r="M4" s="18">
        <f>Table13[[#This Row],[Predicted Loss Cost 3]]/$B$4</f>
        <v>2.1746471164590053</v>
      </c>
      <c r="N4" t="s">
        <v>91</v>
      </c>
      <c r="O4">
        <v>178.68029899999999</v>
      </c>
      <c r="P4" s="18">
        <f>Table13[[#This Row],[Predicted Loss Cost 4]]/$B$4</f>
        <v>0.93382413427928224</v>
      </c>
      <c r="Q4" s="16" t="s">
        <v>92</v>
      </c>
      <c r="R4">
        <v>200.724019</v>
      </c>
      <c r="S4" s="18">
        <f>Table13[[#This Row],[Predicted Loss Cost 5]]/$B$4</f>
        <v>1.0490296597932893</v>
      </c>
      <c r="T4" t="s">
        <v>93</v>
      </c>
      <c r="U4">
        <v>256.89324599999998</v>
      </c>
      <c r="V4" s="18">
        <f>Table13[[#This Row],[Predicted Loss Cost 6]]/$B$4</f>
        <v>1.3425828946488649</v>
      </c>
      <c r="W4" t="s">
        <v>94</v>
      </c>
      <c r="X4">
        <v>242.32724300000001</v>
      </c>
      <c r="Y4" s="18">
        <f>Table13[[#This Row],[Predicted Loss Cost 7]]/$B$4</f>
        <v>1.2664576294824774</v>
      </c>
    </row>
    <row r="5" spans="1:25">
      <c r="A5" t="s">
        <v>144</v>
      </c>
      <c r="B5" s="18">
        <v>3.8299895669516402</v>
      </c>
      <c r="E5" s="5" t="s">
        <v>60</v>
      </c>
      <c r="F5">
        <v>171.25509500000001</v>
      </c>
      <c r="G5" s="18">
        <f>Table13[[#This Row],[Predicted Loss Cost ]]/$B$4</f>
        <v>0.8950183188874743</v>
      </c>
      <c r="H5" t="s">
        <v>95</v>
      </c>
      <c r="I5">
        <v>0</v>
      </c>
      <c r="J5" s="18">
        <f>Table13[[#This Row],[Predicted Loss Cost 2]]/$B$4</f>
        <v>0</v>
      </c>
      <c r="K5" t="s">
        <v>96</v>
      </c>
      <c r="L5">
        <v>656.21997799999997</v>
      </c>
      <c r="M5" s="18">
        <f>Table13[[#This Row],[Predicted Loss Cost 3]]/$B$4</f>
        <v>3.4295557836100312</v>
      </c>
      <c r="N5" t="s">
        <v>97</v>
      </c>
      <c r="O5">
        <v>205.28085999999999</v>
      </c>
      <c r="P5" s="18">
        <f>Table13[[#This Row],[Predicted Loss Cost 4]]/$B$4</f>
        <v>1.0728447537106849</v>
      </c>
      <c r="Q5" s="17" t="s">
        <v>98</v>
      </c>
      <c r="R5">
        <v>210.71563499999999</v>
      </c>
      <c r="S5" s="18">
        <f>Table13[[#This Row],[Predicted Loss Cost 5]]/$B$4</f>
        <v>1.1012481316308085</v>
      </c>
      <c r="T5" t="s">
        <v>99</v>
      </c>
      <c r="U5">
        <v>267.38161300000002</v>
      </c>
      <c r="V5" s="18">
        <f>Table13[[#This Row],[Predicted Loss Cost 6]]/$B$4</f>
        <v>1.3973975008958492</v>
      </c>
      <c r="W5" t="s">
        <v>100</v>
      </c>
      <c r="X5">
        <v>181.58376200000001</v>
      </c>
      <c r="Y5" s="18">
        <f>Table13[[#This Row],[Predicted Loss Cost 7]]/$B$4</f>
        <v>0.94899829638647093</v>
      </c>
    </row>
    <row r="6" spans="1:25">
      <c r="A6" t="s">
        <v>145</v>
      </c>
      <c r="B6" s="18">
        <v>3947.69514285792</v>
      </c>
      <c r="E6" s="5" t="s">
        <v>62</v>
      </c>
      <c r="F6">
        <v>181.58206899999999</v>
      </c>
      <c r="G6" s="18">
        <f>Table13[[#This Row],[Predicted Loss Cost ]]/$B$4</f>
        <v>0.94898944838102095</v>
      </c>
      <c r="H6" t="s">
        <v>101</v>
      </c>
      <c r="I6">
        <v>8.6917279999999995</v>
      </c>
      <c r="J6" s="18">
        <f>Table13[[#This Row],[Predicted Loss Cost 2]]/$B$4</f>
        <v>4.5424959664920848E-2</v>
      </c>
      <c r="K6" t="s">
        <v>102</v>
      </c>
      <c r="L6">
        <v>1196.163094</v>
      </c>
      <c r="M6" s="18">
        <f>Table13[[#This Row],[Predicted Loss Cost 3]]/$B$4</f>
        <v>6.2514220759803951</v>
      </c>
      <c r="N6" t="s">
        <v>103</v>
      </c>
      <c r="O6">
        <v>226.08824100000001</v>
      </c>
      <c r="P6" s="18">
        <f>Table13[[#This Row],[Predicted Loss Cost 4]]/$B$4</f>
        <v>1.1815888886695378</v>
      </c>
      <c r="S6" s="18"/>
      <c r="T6" t="s">
        <v>104</v>
      </c>
      <c r="U6">
        <v>280.71744699999999</v>
      </c>
      <c r="V6" s="18">
        <f>Table13[[#This Row],[Predicted Loss Cost 6]]/$B$4</f>
        <v>1.4670936213391119</v>
      </c>
      <c r="W6" t="s">
        <v>105</v>
      </c>
      <c r="X6">
        <v>171.113257</v>
      </c>
      <c r="Y6" s="18">
        <f>Table13[[#This Row],[Predicted Loss Cost 7]]/$B$4</f>
        <v>0.8942770410392773</v>
      </c>
    </row>
    <row r="7" spans="1:25">
      <c r="A7" t="s">
        <v>146</v>
      </c>
      <c r="B7" s="18">
        <v>164.83703327187601</v>
      </c>
      <c r="E7" s="5" t="s">
        <v>64</v>
      </c>
      <c r="F7">
        <v>189.86513199999999</v>
      </c>
      <c r="G7" s="18">
        <f>Table13[[#This Row],[Predicted Loss Cost ]]/$B$4</f>
        <v>0.99227863123131244</v>
      </c>
      <c r="J7" s="18"/>
      <c r="K7" t="s">
        <v>65</v>
      </c>
      <c r="L7">
        <v>2854.4608929999999</v>
      </c>
      <c r="M7" s="18">
        <f>Table13[[#This Row],[Predicted Loss Cost 3]]/$B$4</f>
        <v>14.918065881677263</v>
      </c>
      <c r="N7" t="s">
        <v>106</v>
      </c>
      <c r="O7">
        <v>264.72270099999997</v>
      </c>
      <c r="P7" s="18">
        <f>Table13[[#This Row],[Predicted Loss Cost 4]]/$B$4</f>
        <v>1.3835014182811407</v>
      </c>
      <c r="S7" s="18"/>
      <c r="T7" t="s">
        <v>107</v>
      </c>
      <c r="U7">
        <v>264.96248700000001</v>
      </c>
      <c r="V7" s="18">
        <f>Table13[[#This Row],[Predicted Loss Cost 6]]/$B$4</f>
        <v>1.3847545947931317</v>
      </c>
      <c r="W7" t="s">
        <v>108</v>
      </c>
      <c r="X7">
        <v>208.44146599999999</v>
      </c>
      <c r="Y7" s="18">
        <f>Table13[[#This Row],[Predicted Loss Cost 7]]/$B$4</f>
        <v>1.0893628039840835</v>
      </c>
    </row>
    <row r="8" spans="1:25">
      <c r="E8" s="5" t="s">
        <v>66</v>
      </c>
      <c r="F8">
        <v>193.02453600000001</v>
      </c>
      <c r="G8" s="18">
        <f>Table13[[#This Row],[Predicted Loss Cost ]]/$B$4</f>
        <v>1.0087903995776286</v>
      </c>
      <c r="J8" s="18"/>
      <c r="M8" s="18"/>
      <c r="P8" s="18"/>
      <c r="S8" s="18"/>
      <c r="V8" s="18"/>
      <c r="W8" t="s">
        <v>109</v>
      </c>
      <c r="X8">
        <v>247.370814</v>
      </c>
      <c r="Y8" s="18">
        <f>Table13[[#This Row],[Predicted Loss Cost 7]]/$B$4</f>
        <v>1.2928164857699918</v>
      </c>
    </row>
    <row r="9" spans="1:25">
      <c r="G9" s="18"/>
      <c r="J9" s="18"/>
      <c r="M9" s="18"/>
      <c r="P9" s="18"/>
      <c r="S9" s="18"/>
      <c r="V9" s="18"/>
      <c r="W9" t="s">
        <v>110</v>
      </c>
      <c r="X9">
        <v>180.06828100000001</v>
      </c>
      <c r="Y9" s="18">
        <f>Table13[[#This Row],[Predicted Loss Cost 7]]/$B$4</f>
        <v>0.94107804585654709</v>
      </c>
    </row>
    <row r="10" spans="1:25">
      <c r="G10" s="18"/>
      <c r="J10" s="18"/>
      <c r="M10" s="18"/>
      <c r="P10" s="18"/>
      <c r="S10" s="18"/>
      <c r="V10" s="18"/>
      <c r="W10" t="s">
        <v>111</v>
      </c>
      <c r="X10">
        <v>177.42929100000001</v>
      </c>
      <c r="Y10" s="18">
        <f>Table13[[#This Row],[Predicted Loss Cost 7]]/$B$4</f>
        <v>0.92728608017306857</v>
      </c>
    </row>
    <row r="11" spans="1:25">
      <c r="G11" s="18"/>
      <c r="J11" s="18"/>
      <c r="M11" s="18"/>
      <c r="P11" s="18"/>
      <c r="S11" s="18"/>
      <c r="V11" s="18"/>
      <c r="W11" t="s">
        <v>112</v>
      </c>
      <c r="X11">
        <v>184.09746200000001</v>
      </c>
      <c r="Y11" s="18">
        <f>Table13[[#This Row],[Predicted Loss Cost 7]]/$B$4</f>
        <v>0.96213546785682891</v>
      </c>
    </row>
    <row r="12" spans="1:25">
      <c r="G12" s="18"/>
      <c r="J12" s="18"/>
      <c r="M12" s="18"/>
      <c r="P12" s="18"/>
      <c r="S12" s="18"/>
      <c r="V12" s="18"/>
      <c r="W12" t="s">
        <v>113</v>
      </c>
      <c r="X12">
        <v>203.773415</v>
      </c>
      <c r="Y12" s="18">
        <f>Table13[[#This Row],[Predicted Loss Cost 7]]/$B$4</f>
        <v>1.064966501155832</v>
      </c>
    </row>
    <row r="13" spans="1:25">
      <c r="G13" s="18"/>
      <c r="J13" s="18"/>
      <c r="M13" s="18"/>
      <c r="P13" s="18"/>
      <c r="S13" s="18"/>
      <c r="V13" s="18"/>
      <c r="W13" t="s">
        <v>114</v>
      </c>
      <c r="X13">
        <v>182.09298899999999</v>
      </c>
      <c r="Y13" s="18">
        <f>Table13[[#This Row],[Predicted Loss Cost 7]]/$B$4</f>
        <v>0.95165963322711844</v>
      </c>
    </row>
    <row r="14" spans="1:25">
      <c r="G14" s="18"/>
      <c r="J14" s="18"/>
      <c r="M14" s="18"/>
      <c r="P14" s="18"/>
      <c r="S14" s="18"/>
      <c r="V14" s="18"/>
      <c r="W14" t="s">
        <v>115</v>
      </c>
      <c r="X14">
        <v>198.37992299999999</v>
      </c>
      <c r="Y14" s="18">
        <f>Table13[[#This Row],[Predicted Loss Cost 7]]/$B$4</f>
        <v>1.036778877641489</v>
      </c>
    </row>
    <row r="15" spans="1:25">
      <c r="G15" s="18"/>
      <c r="J15" s="18"/>
      <c r="M15" s="18"/>
      <c r="P15" s="18"/>
      <c r="S15" s="18"/>
      <c r="V15" s="18"/>
      <c r="W15" t="s">
        <v>116</v>
      </c>
      <c r="X15">
        <v>193.199333</v>
      </c>
      <c r="Y15" s="18">
        <f>Table13[[#This Row],[Predicted Loss Cost 7]]/$B$4</f>
        <v>1.0097039287026253</v>
      </c>
    </row>
    <row r="16" spans="1:25">
      <c r="G16" s="18"/>
      <c r="J16" s="18"/>
      <c r="M16" s="18"/>
      <c r="P16" s="18"/>
      <c r="S16" s="18"/>
      <c r="V16" s="18"/>
      <c r="W16" t="s">
        <v>117</v>
      </c>
      <c r="X16">
        <v>178.80981499999999</v>
      </c>
      <c r="Y16" s="18">
        <f>Table13[[#This Row],[Predicted Loss Cost 7]]/$B$4</f>
        <v>0.93450101453553991</v>
      </c>
    </row>
    <row r="17" spans="7:25">
      <c r="G17" s="18"/>
      <c r="J17" s="18"/>
      <c r="M17" s="18"/>
      <c r="P17" s="18"/>
      <c r="S17" s="18"/>
      <c r="V17" s="18"/>
      <c r="W17" t="s">
        <v>118</v>
      </c>
      <c r="X17">
        <v>265.92023799999998</v>
      </c>
      <c r="Y17" s="18">
        <f>Table13[[#This Row],[Predicted Loss Cost 7]]/$B$4</f>
        <v>1.389760020704301</v>
      </c>
    </row>
    <row r="18" spans="7:25">
      <c r="G18" s="18"/>
      <c r="J18" s="18"/>
      <c r="M18" s="18"/>
      <c r="P18" s="18"/>
      <c r="S18" s="18"/>
      <c r="V18" s="18"/>
      <c r="W18" t="s">
        <v>119</v>
      </c>
      <c r="X18">
        <v>161.17575299999999</v>
      </c>
      <c r="Y18" s="18">
        <f>Table13[[#This Row],[Predicted Loss Cost 7]]/$B$4</f>
        <v>0.84234137089750682</v>
      </c>
    </row>
    <row r="19" spans="7:25">
      <c r="G19" s="18"/>
      <c r="J19" s="18"/>
      <c r="M19" s="18"/>
      <c r="P19" s="18"/>
      <c r="S19" s="18"/>
      <c r="V19" s="18"/>
      <c r="W19" t="s">
        <v>120</v>
      </c>
      <c r="X19">
        <v>219.37514300000001</v>
      </c>
      <c r="Y19" s="18">
        <f>Table13[[#This Row],[Predicted Loss Cost 7]]/$B$4</f>
        <v>1.1465047022020529</v>
      </c>
    </row>
    <row r="20" spans="7:25">
      <c r="G20" s="18"/>
      <c r="J20" s="18"/>
      <c r="M20" s="18"/>
      <c r="P20" s="18"/>
      <c r="S20" s="18"/>
      <c r="V20" s="18"/>
      <c r="W20" t="s">
        <v>121</v>
      </c>
      <c r="X20">
        <v>199.950761</v>
      </c>
      <c r="Y20" s="18">
        <f>Table13[[#This Row],[Predicted Loss Cost 7]]/$B$4</f>
        <v>1.0449884365220852</v>
      </c>
    </row>
    <row r="21" spans="7:25">
      <c r="G21" s="18"/>
      <c r="J21" s="18"/>
      <c r="M21" s="18"/>
      <c r="P21" s="18"/>
      <c r="S21" s="18"/>
      <c r="V21" s="18"/>
      <c r="W21" t="s">
        <v>122</v>
      </c>
      <c r="X21">
        <v>145.228126</v>
      </c>
      <c r="Y21" s="18">
        <f>Table13[[#This Row],[Predicted Loss Cost 7]]/$B$4</f>
        <v>0.75899542251690844</v>
      </c>
    </row>
    <row r="22" spans="7:25">
      <c r="G22" s="18"/>
      <c r="J22" s="18"/>
      <c r="M22" s="18"/>
      <c r="P22" s="18"/>
      <c r="S22" s="18"/>
      <c r="V22" s="18"/>
      <c r="W22" t="s">
        <v>123</v>
      </c>
      <c r="X22">
        <v>174.685709</v>
      </c>
      <c r="Y22" s="18">
        <f>Table13[[#This Row],[Predicted Loss Cost 7]]/$B$4</f>
        <v>0.91294749276128995</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749B-53FB-49CF-8806-42077528B5B8}">
  <dimension ref="A1:K7"/>
  <sheetViews>
    <sheetView workbookViewId="0">
      <selection activeCell="I10" sqref="I10"/>
    </sheetView>
  </sheetViews>
  <sheetFormatPr defaultRowHeight="15"/>
  <cols>
    <col min="1" max="1" width="21.42578125" bestFit="1" customWidth="1"/>
    <col min="2" max="2" width="19.28515625" bestFit="1" customWidth="1"/>
    <col min="3" max="3" width="20.42578125" bestFit="1" customWidth="1"/>
    <col min="4" max="4" width="17.85546875" bestFit="1" customWidth="1"/>
  </cols>
  <sheetData>
    <row r="1" spans="1:11">
      <c r="A1" t="s">
        <v>147</v>
      </c>
      <c r="B1" t="s">
        <v>148</v>
      </c>
      <c r="C1" t="s">
        <v>149</v>
      </c>
      <c r="D1" t="s">
        <v>150</v>
      </c>
      <c r="F1" s="60" t="s">
        <v>151</v>
      </c>
      <c r="G1" s="60"/>
      <c r="H1" s="60"/>
      <c r="I1" s="60"/>
      <c r="J1" s="60"/>
      <c r="K1" s="60"/>
    </row>
    <row r="2" spans="1:11">
      <c r="A2" s="18">
        <v>0.1</v>
      </c>
      <c r="B2" s="19">
        <v>2500</v>
      </c>
      <c r="C2" s="24">
        <v>0.1</v>
      </c>
      <c r="D2" s="24">
        <v>0.01</v>
      </c>
      <c r="F2" s="26" t="s">
        <v>152</v>
      </c>
      <c r="G2" s="25">
        <v>-0.2</v>
      </c>
      <c r="H2" s="25">
        <v>-0.1</v>
      </c>
      <c r="I2" s="25">
        <v>0</v>
      </c>
      <c r="J2" s="25">
        <v>0.1</v>
      </c>
      <c r="K2" s="25">
        <v>0.2</v>
      </c>
    </row>
    <row r="3" spans="1:11">
      <c r="F3" s="25">
        <v>-0.2</v>
      </c>
      <c r="G3" cm="1">
        <f t="array" ref="G3">Table14[Base Frequency]*(1+$G$2) * Table14[Base Severity] * (1+F3)</f>
        <v>160.00000000000003</v>
      </c>
      <c r="H3" cm="1">
        <f t="array" ref="H3">Table14[Base Frequency]*(1+$H$2) * Table14[Base Severity]*(1+F3)</f>
        <v>180.00000000000003</v>
      </c>
      <c r="I3" cm="1">
        <f t="array" ref="I3">Table14[Base Frequency]*(1+$I$2) * Table14[Base Severity]*(1+F3)</f>
        <v>200</v>
      </c>
      <c r="J3" cm="1">
        <f t="array" ref="J3">Table14[Base Frequency]*(1+$J$2) * Table14[Base Severity]*(1+F3)</f>
        <v>220.00000000000006</v>
      </c>
      <c r="K3" cm="1">
        <f t="array" ref="K3">Table14[Base Frequency]*(1+$K$2) * Table14[Base Severity]*(1+F3)</f>
        <v>240</v>
      </c>
    </row>
    <row r="4" spans="1:11">
      <c r="A4" t="s">
        <v>153</v>
      </c>
      <c r="B4" t="s">
        <v>154</v>
      </c>
      <c r="C4" t="s">
        <v>155</v>
      </c>
      <c r="F4" s="25">
        <v>-0.1</v>
      </c>
      <c r="G4" cm="1">
        <f t="array" ref="G4">Table14[Base Frequency]*(1+$G$2) * Table14[Base Severity] * (1+F4)</f>
        <v>180.00000000000003</v>
      </c>
      <c r="H4" cm="1">
        <f t="array" ref="H4">Table14[Base Frequency]*(1+$H$2) * Table14[Base Severity]*(1+F4)</f>
        <v>202.50000000000003</v>
      </c>
      <c r="I4" cm="1">
        <f t="array" ref="I4">Table14[Base Frequency]*(1+$I$2) * Table14[Base Severity]*(1+F4)</f>
        <v>225</v>
      </c>
      <c r="J4" cm="1">
        <f t="array" ref="J4">Table14[Base Frequency]*(1+$J$2) * Table14[Base Severity]*(1+F4)</f>
        <v>247.50000000000006</v>
      </c>
      <c r="K4" cm="1">
        <f t="array" ref="K4">Table14[Base Frequency]*(1+$K$2) * Table14[Base Severity]*(1+F4)</f>
        <v>270</v>
      </c>
    </row>
    <row r="5" spans="1:11">
      <c r="A5" s="18" cm="1">
        <f t="array" ref="A5">Table14[Base Frequency]*(1+Table14[Frequency Change])</f>
        <v>0.11000000000000001</v>
      </c>
      <c r="B5" s="19" cm="1">
        <f t="array" ref="B5">Table14[Base Severity]*(1+Table14[Severity Change])</f>
        <v>2525</v>
      </c>
      <c r="C5">
        <f>Table15[[#This Row],[Adjusted Frequency]]*Table15[[#This Row],[Adjusted Severity]]</f>
        <v>277.75000000000006</v>
      </c>
      <c r="F5" s="25">
        <v>0</v>
      </c>
      <c r="G5" cm="1">
        <f t="array" ref="G5">Table14[Base Frequency]*(1+$G$2) * Table14[Base Severity] * (1+F5)</f>
        <v>200.00000000000003</v>
      </c>
      <c r="H5" cm="1">
        <f t="array" ref="H5">Table14[Base Frequency]*(1+$H$2) * Table14[Base Severity]*(1+F5)</f>
        <v>225.00000000000003</v>
      </c>
      <c r="I5" cm="1">
        <f t="array" ref="I5">Table14[Base Frequency]*(1+$I$2) * Table14[Base Severity]*(1+F5)</f>
        <v>250</v>
      </c>
      <c r="J5" cm="1">
        <f t="array" ref="J5">Table14[Base Frequency]*(1+$J$2) * Table14[Base Severity]*(1+F5)</f>
        <v>275.00000000000006</v>
      </c>
      <c r="K5" cm="1">
        <f t="array" ref="K5">Table14[Base Frequency]*(1+$K$2) * Table14[Base Severity]*(1+F5)</f>
        <v>300</v>
      </c>
    </row>
    <row r="6" spans="1:11">
      <c r="F6" s="25">
        <v>0.1</v>
      </c>
      <c r="G6" cm="1">
        <f t="array" ref="G6">Table14[Base Frequency]*(1+$G$2) * Table14[Base Severity] * (1+F6)</f>
        <v>220.00000000000006</v>
      </c>
      <c r="H6" cm="1">
        <f t="array" ref="H6">Table14[Base Frequency]*(1+$H$2) * Table14[Base Severity]*(1+F6)</f>
        <v>247.50000000000006</v>
      </c>
      <c r="I6" cm="1">
        <f t="array" ref="I6">Table14[Base Frequency]*(1+$I$2) * Table14[Base Severity]*(1+F6)</f>
        <v>275</v>
      </c>
      <c r="J6" cm="1">
        <f t="array" ref="J6">Table14[Base Frequency]*(1+$J$2) * Table14[Base Severity]*(1+F6)</f>
        <v>302.50000000000011</v>
      </c>
      <c r="K6" cm="1">
        <f t="array" ref="K6">Table14[Base Frequency]*(1+$K$2) * Table14[Base Severity]*(1+F6)</f>
        <v>330</v>
      </c>
    </row>
    <row r="7" spans="1:11">
      <c r="F7" s="25">
        <v>0.2</v>
      </c>
      <c r="G7" cm="1">
        <f t="array" ref="G7">Table14[Base Frequency]*(1+$G$2) * Table14[Base Severity] * (1+F7)</f>
        <v>240.00000000000003</v>
      </c>
      <c r="H7" cm="1">
        <f t="array" ref="H7">Table14[Base Frequency]*(1+$H$2) * Table14[Base Severity]*(1+F7)</f>
        <v>270</v>
      </c>
      <c r="I7" cm="1">
        <f t="array" ref="I7">Table14[Base Frequency]*(1+$I$2) * Table14[Base Severity]*(1+F7)</f>
        <v>300</v>
      </c>
      <c r="J7" cm="1">
        <f t="array" ref="J7">Table14[Base Frequency]*(1+$J$2) * Table14[Base Severity]*(1+F7)</f>
        <v>330.00000000000006</v>
      </c>
      <c r="K7" cm="1">
        <f t="array" ref="K7">Table14[Base Frequency]*(1+$K$2) * Table14[Base Severity]*(1+F7)</f>
        <v>360</v>
      </c>
    </row>
  </sheetData>
  <mergeCells count="1">
    <mergeCell ref="F1:K1"/>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0482-45F8-484C-A0E0-6CAD104294A3}">
  <dimension ref="A1:Y59"/>
  <sheetViews>
    <sheetView topLeftCell="A18" workbookViewId="0">
      <selection activeCell="P24" sqref="P24"/>
    </sheetView>
  </sheetViews>
  <sheetFormatPr defaultRowHeight="15"/>
  <cols>
    <col min="1" max="1" width="27.140625" bestFit="1" customWidth="1"/>
    <col min="2" max="3" width="22" bestFit="1" customWidth="1"/>
    <col min="4" max="4" width="18.42578125" bestFit="1" customWidth="1"/>
    <col min="5" max="6" width="22" bestFit="1" customWidth="1"/>
    <col min="7" max="7" width="15.28515625" bestFit="1" customWidth="1"/>
    <col min="17" max="17" width="16.140625" bestFit="1" customWidth="1"/>
    <col min="18" max="18" width="10.85546875" bestFit="1" customWidth="1"/>
    <col min="20" max="20" width="27.140625" bestFit="1" customWidth="1"/>
    <col min="21" max="21" width="13" bestFit="1" customWidth="1"/>
    <col min="22" max="23" width="20.85546875" bestFit="1" customWidth="1"/>
    <col min="24" max="24" width="12.7109375" bestFit="1" customWidth="1"/>
    <col min="25" max="25" width="15.28515625" bestFit="1" customWidth="1"/>
  </cols>
  <sheetData>
    <row r="1" spans="1:25">
      <c r="A1" s="62" t="s">
        <v>156</v>
      </c>
      <c r="B1" s="54"/>
      <c r="C1" s="54"/>
      <c r="D1" s="54"/>
      <c r="E1" s="54"/>
      <c r="F1" s="54"/>
      <c r="G1" s="54"/>
      <c r="Q1" s="63" t="s">
        <v>157</v>
      </c>
      <c r="R1" s="63"/>
      <c r="T1" s="64" t="s">
        <v>158</v>
      </c>
      <c r="U1" s="54"/>
      <c r="V1" s="54"/>
      <c r="W1" s="54"/>
      <c r="X1" s="54"/>
      <c r="Y1" s="54"/>
    </row>
    <row r="2" spans="1:25">
      <c r="A2" s="54"/>
      <c r="B2" s="54"/>
      <c r="C2" s="54"/>
      <c r="D2" s="54"/>
      <c r="E2" s="54"/>
      <c r="F2" s="54"/>
      <c r="G2" s="54"/>
      <c r="Q2" s="7" t="s">
        <v>38</v>
      </c>
      <c r="R2" s="8">
        <v>2278.54</v>
      </c>
      <c r="T2" s="54"/>
      <c r="U2" s="54"/>
      <c r="V2" s="54"/>
      <c r="W2" s="54"/>
      <c r="X2" s="54"/>
      <c r="Y2" s="54"/>
    </row>
    <row r="3" spans="1:25" ht="15" customHeight="1">
      <c r="A3" t="s">
        <v>159</v>
      </c>
      <c r="B3" t="s">
        <v>41</v>
      </c>
      <c r="C3" t="s">
        <v>160</v>
      </c>
      <c r="D3" t="s">
        <v>161</v>
      </c>
      <c r="Q3" s="9" t="s">
        <v>40</v>
      </c>
      <c r="R3" s="10">
        <v>1172</v>
      </c>
      <c r="T3" s="41" t="s">
        <v>11</v>
      </c>
      <c r="U3" s="41" t="s">
        <v>53</v>
      </c>
      <c r="V3" s="41" t="s">
        <v>162</v>
      </c>
      <c r="W3" s="41" t="s">
        <v>9</v>
      </c>
      <c r="X3" s="41" t="s">
        <v>163</v>
      </c>
      <c r="Y3" s="41" t="s">
        <v>161</v>
      </c>
    </row>
    <row r="4" spans="1:25">
      <c r="A4" t="s">
        <v>164</v>
      </c>
      <c r="B4">
        <v>0.28012550187596102</v>
      </c>
      <c r="C4">
        <v>0.108337018660179</v>
      </c>
      <c r="D4">
        <v>0.92749425760312199</v>
      </c>
      <c r="Q4" s="7" t="s">
        <v>42</v>
      </c>
      <c r="R4" s="8">
        <v>1228.08</v>
      </c>
      <c r="T4" s="28" t="s">
        <v>54</v>
      </c>
      <c r="U4" s="39">
        <v>2472.907952</v>
      </c>
      <c r="V4" s="39">
        <v>393.08546799999999</v>
      </c>
      <c r="W4" s="39">
        <v>281.02119599999997</v>
      </c>
      <c r="X4" s="39">
        <f>ABS(V4-W4)</f>
        <v>112.06427200000002</v>
      </c>
      <c r="Y4" s="44">
        <f>X4/V4</f>
        <v>0.28508881941166042</v>
      </c>
    </row>
    <row r="5" spans="1:25">
      <c r="Q5" s="9" t="s">
        <v>44</v>
      </c>
      <c r="R5" s="11">
        <v>2799.07</v>
      </c>
      <c r="T5" s="29" t="s">
        <v>56</v>
      </c>
      <c r="U5" s="40">
        <v>12918.326617000001</v>
      </c>
      <c r="V5" s="40">
        <v>153.655483</v>
      </c>
      <c r="W5" s="40">
        <v>202.47292999999999</v>
      </c>
      <c r="X5" s="39">
        <f t="shared" ref="X5:X10" si="0">ABS(V5-W5)</f>
        <v>48.817446999999987</v>
      </c>
      <c r="Y5" s="44">
        <f t="shared" ref="Y5:Y10" si="1">X5/V5</f>
        <v>0.31770715920368414</v>
      </c>
    </row>
    <row r="6" spans="1:25">
      <c r="A6" t="s">
        <v>11</v>
      </c>
      <c r="B6" t="s">
        <v>53</v>
      </c>
      <c r="C6" t="s">
        <v>165</v>
      </c>
      <c r="D6" t="s">
        <v>166</v>
      </c>
      <c r="E6" s="27" t="s">
        <v>41</v>
      </c>
      <c r="F6" t="s">
        <v>160</v>
      </c>
      <c r="G6" t="s">
        <v>161</v>
      </c>
      <c r="Q6" s="7" t="s">
        <v>46</v>
      </c>
      <c r="R6" s="8">
        <v>4861.6899999999996</v>
      </c>
      <c r="T6" s="28" t="s">
        <v>58</v>
      </c>
      <c r="U6" s="39">
        <v>17364.618336</v>
      </c>
      <c r="V6" s="39">
        <v>198.729828</v>
      </c>
      <c r="W6" s="39">
        <v>163.33264199999999</v>
      </c>
      <c r="X6" s="39">
        <f t="shared" si="0"/>
        <v>35.397186000000005</v>
      </c>
      <c r="Y6" s="44">
        <f t="shared" si="1"/>
        <v>0.17811712693677773</v>
      </c>
    </row>
    <row r="7" spans="1:25">
      <c r="A7" t="s">
        <v>54</v>
      </c>
      <c r="B7" s="35">
        <v>2472.907952</v>
      </c>
      <c r="C7" s="36">
        <v>479</v>
      </c>
      <c r="D7" s="35">
        <v>398.83607899999998</v>
      </c>
      <c r="E7" s="31">
        <f>Table19[[#This Row],[Observed Claims]]/Table19[[#This Row],[Exposure]]</f>
        <v>0.19369908193008228</v>
      </c>
      <c r="F7" s="30">
        <f>Table19[[#This Row],[Predicted Claims]]/Table19[[#This Row],[Exposure]]</f>
        <v>0.1612822178348513</v>
      </c>
      <c r="G7" s="24">
        <f>ABS(Table19[[#This Row],[Predicted Claims]]-Table19[[#This Row],[Observed Claims]])/Table19[[#This Row],[Observed Claims]]</f>
        <v>0.16735682881002092</v>
      </c>
      <c r="Q7" s="9" t="s">
        <v>48</v>
      </c>
      <c r="R7" s="12">
        <v>16793.7</v>
      </c>
      <c r="T7" s="29" t="s">
        <v>60</v>
      </c>
      <c r="U7" s="40">
        <v>18003.706743999999</v>
      </c>
      <c r="V7" s="40">
        <v>148.34169399999999</v>
      </c>
      <c r="W7" s="40">
        <v>162.69462799999999</v>
      </c>
      <c r="X7" s="39">
        <f t="shared" si="0"/>
        <v>14.352934000000005</v>
      </c>
      <c r="Y7" s="44">
        <f t="shared" si="1"/>
        <v>9.67558992551346E-2</v>
      </c>
    </row>
    <row r="8" spans="1:25">
      <c r="A8" t="s">
        <v>56</v>
      </c>
      <c r="B8" s="35">
        <v>12918.326617000001</v>
      </c>
      <c r="C8" s="36">
        <v>1325</v>
      </c>
      <c r="D8" s="35">
        <v>1482.3873719999999</v>
      </c>
      <c r="E8" s="32">
        <f>Table19[[#This Row],[Observed Claims]]/Table19[[#This Row],[Exposure]]</f>
        <v>0.1025674639822431</v>
      </c>
      <c r="F8" s="30">
        <f>Table19[[#This Row],[Predicted Claims]]/Table19[[#This Row],[Exposure]]</f>
        <v>0.11475072708327698</v>
      </c>
      <c r="G8" s="24">
        <f>ABS(Table19[[#This Row],[Predicted Claims]]-Table19[[#This Row],[Observed Claims]])/Table19[[#This Row],[Observed Claims]]</f>
        <v>0.11878292226415088</v>
      </c>
      <c r="Q8" s="7" t="s">
        <v>50</v>
      </c>
      <c r="R8" s="13">
        <v>162784.44</v>
      </c>
      <c r="T8" s="28" t="s">
        <v>62</v>
      </c>
      <c r="U8" s="39">
        <v>11270.144671</v>
      </c>
      <c r="V8" s="39">
        <v>105.79082200000001</v>
      </c>
      <c r="W8" s="39">
        <v>171.63234700000001</v>
      </c>
      <c r="X8" s="39">
        <f t="shared" si="0"/>
        <v>65.841525000000004</v>
      </c>
      <c r="Y8" s="44">
        <f t="shared" si="1"/>
        <v>0.6223746422917481</v>
      </c>
    </row>
    <row r="9" spans="1:25">
      <c r="A9" t="s">
        <v>58</v>
      </c>
      <c r="B9" s="35">
        <v>17364.618336</v>
      </c>
      <c r="C9" s="36">
        <v>1639</v>
      </c>
      <c r="D9" s="35">
        <v>1600.5912370000001</v>
      </c>
      <c r="E9" s="31">
        <f>Table19[[#This Row],[Observed Claims]]/Table19[[#This Row],[Exposure]]</f>
        <v>9.4387332234193488E-2</v>
      </c>
      <c r="F9" s="30">
        <f>Table19[[#This Row],[Predicted Claims]]/Table19[[#This Row],[Exposure]]</f>
        <v>9.2175434324501357E-2</v>
      </c>
      <c r="G9" s="24">
        <f>ABS(Table19[[#This Row],[Predicted Claims]]-Table19[[#This Row],[Observed Claims]])/Table19[[#This Row],[Observed Claims]]</f>
        <v>2.3434266625991403E-2</v>
      </c>
      <c r="T9" s="29" t="s">
        <v>64</v>
      </c>
      <c r="U9" s="40">
        <v>6422.9826869999997</v>
      </c>
      <c r="V9" s="40">
        <v>96.758348999999995</v>
      </c>
      <c r="W9" s="40">
        <v>179.140548</v>
      </c>
      <c r="X9" s="39">
        <f t="shared" si="0"/>
        <v>82.382199</v>
      </c>
      <c r="Y9" s="44">
        <f t="shared" si="1"/>
        <v>0.85142212379006177</v>
      </c>
    </row>
    <row r="10" spans="1:25">
      <c r="A10" t="s">
        <v>60</v>
      </c>
      <c r="B10" s="35">
        <v>18003.706743999999</v>
      </c>
      <c r="C10" s="36">
        <v>1884</v>
      </c>
      <c r="D10" s="35">
        <v>1647.8244500000001</v>
      </c>
      <c r="E10" s="32">
        <f>Table19[[#This Row],[Observed Claims]]/Table19[[#This Row],[Exposure]]</f>
        <v>0.10464511707445306</v>
      </c>
      <c r="F10" s="30">
        <f>Table19[[#This Row],[Predicted Claims]]/Table19[[#This Row],[Exposure]]</f>
        <v>9.1526954611675274E-2</v>
      </c>
      <c r="G10" s="24">
        <f>ABS(Table19[[#This Row],[Predicted Claims]]-Table19[[#This Row],[Observed Claims]])/Table19[[#This Row],[Observed Claims]]</f>
        <v>0.12535857218683649</v>
      </c>
      <c r="T10" s="42" t="s">
        <v>66</v>
      </c>
      <c r="U10" s="43">
        <v>3171.7360990000002</v>
      </c>
      <c r="V10" s="43">
        <v>307.63747999999998</v>
      </c>
      <c r="W10" s="43">
        <v>184.16637900000001</v>
      </c>
      <c r="X10" s="43">
        <f t="shared" si="0"/>
        <v>123.47110099999998</v>
      </c>
      <c r="Y10" s="45">
        <f t="shared" si="1"/>
        <v>0.4013525952689509</v>
      </c>
    </row>
    <row r="11" spans="1:25">
      <c r="A11" t="s">
        <v>62</v>
      </c>
      <c r="B11" s="35">
        <v>11270.144671</v>
      </c>
      <c r="C11" s="36">
        <v>1042</v>
      </c>
      <c r="D11" s="35">
        <v>1093.9449979999999</v>
      </c>
      <c r="E11" s="31">
        <f>Table19[[#This Row],[Observed Claims]]/Table19[[#This Row],[Exposure]]</f>
        <v>9.2456665856405842E-2</v>
      </c>
      <c r="F11" s="30">
        <f>Table19[[#This Row],[Predicted Claims]]/Table19[[#This Row],[Exposure]]</f>
        <v>9.7065745820894972E-2</v>
      </c>
      <c r="G11" s="24">
        <f>ABS(Table19[[#This Row],[Predicted Claims]]-Table19[[#This Row],[Observed Claims]])/Table19[[#This Row],[Observed Claims]]</f>
        <v>4.9851245681381905E-2</v>
      </c>
    </row>
    <row r="12" spans="1:25">
      <c r="A12" t="s">
        <v>64</v>
      </c>
      <c r="B12" s="35">
        <v>6422.9826869999997</v>
      </c>
      <c r="C12" s="36">
        <v>553</v>
      </c>
      <c r="D12" s="35">
        <v>649.942047</v>
      </c>
      <c r="E12" s="32">
        <f>Table19[[#This Row],[Observed Claims]]/Table19[[#This Row],[Exposure]]</f>
        <v>8.6097071555129981E-2</v>
      </c>
      <c r="F12" s="30">
        <f>Table19[[#This Row],[Predicted Claims]]/Table19[[#This Row],[Exposure]]</f>
        <v>0.10119006677621456</v>
      </c>
      <c r="G12" s="24">
        <f>ABS(Table19[[#This Row],[Predicted Claims]]-Table19[[#This Row],[Observed Claims]])/Table19[[#This Row],[Observed Claims]]</f>
        <v>0.17530207414104884</v>
      </c>
      <c r="T12" t="s">
        <v>130</v>
      </c>
      <c r="U12" s="41" t="s">
        <v>53</v>
      </c>
      <c r="V12" s="41" t="s">
        <v>162</v>
      </c>
      <c r="W12" s="41" t="s">
        <v>9</v>
      </c>
      <c r="X12" s="41" t="s">
        <v>163</v>
      </c>
      <c r="Y12" s="41" t="s">
        <v>161</v>
      </c>
    </row>
    <row r="13" spans="1:25">
      <c r="A13" t="s">
        <v>66</v>
      </c>
      <c r="B13" s="35">
        <v>3171.7360990000002</v>
      </c>
      <c r="C13" s="36">
        <v>319</v>
      </c>
      <c r="D13" s="35">
        <v>330.91024299999998</v>
      </c>
      <c r="E13" s="31">
        <f>Table19[[#This Row],[Observed Claims]]/Table19[[#This Row],[Exposure]]</f>
        <v>0.10057583293281425</v>
      </c>
      <c r="F13" s="30">
        <f>Table19[[#This Row],[Predicted Claims]]/Table19[[#This Row],[Exposure]]</f>
        <v>0.10433095083299361</v>
      </c>
      <c r="G13" s="24">
        <f>ABS(Table19[[#This Row],[Predicted Claims]]-Table19[[#This Row],[Observed Claims]])/Table19[[#This Row],[Observed Claims]]</f>
        <v>3.7336184952977997E-2</v>
      </c>
      <c r="T13" s="28" t="s">
        <v>55</v>
      </c>
      <c r="U13" s="35">
        <v>63688.168573000003</v>
      </c>
      <c r="V13" s="39">
        <v>147.527725</v>
      </c>
      <c r="W13" s="39">
        <v>158.43700100000001</v>
      </c>
      <c r="X13" s="39">
        <f>ABS(V13-W13)</f>
        <v>10.909276000000006</v>
      </c>
      <c r="Y13" s="44">
        <f>X13/V13</f>
        <v>7.3947293635823405E-2</v>
      </c>
    </row>
    <row r="14" spans="1:25">
      <c r="T14" s="29" t="s">
        <v>84</v>
      </c>
      <c r="U14" s="35">
        <v>5951.2392810000001</v>
      </c>
      <c r="V14" s="40">
        <v>212.945044</v>
      </c>
      <c r="W14" s="40">
        <v>338.47987999999998</v>
      </c>
      <c r="X14" s="35">
        <f t="shared" ref="X14:X19" si="2">ABS(V14-W14)</f>
        <v>125.53483599999998</v>
      </c>
      <c r="Y14" s="24">
        <f t="shared" ref="Y14:Y19" si="3">X14/V14</f>
        <v>0.58951752828772097</v>
      </c>
    </row>
    <row r="15" spans="1:25">
      <c r="A15" t="s">
        <v>130</v>
      </c>
      <c r="B15" t="s">
        <v>53</v>
      </c>
      <c r="C15" t="s">
        <v>165</v>
      </c>
      <c r="D15" t="s">
        <v>166</v>
      </c>
      <c r="E15" s="27" t="s">
        <v>41</v>
      </c>
      <c r="F15" t="s">
        <v>160</v>
      </c>
      <c r="G15" t="s">
        <v>161</v>
      </c>
      <c r="T15" s="28" t="s">
        <v>90</v>
      </c>
      <c r="U15" s="35">
        <v>1786.2415759999999</v>
      </c>
      <c r="V15" s="39">
        <v>570.46180900000002</v>
      </c>
      <c r="W15" s="39">
        <v>517.694929</v>
      </c>
      <c r="X15" s="39">
        <f t="shared" si="2"/>
        <v>52.766880000000015</v>
      </c>
      <c r="Y15" s="44">
        <f t="shared" si="3"/>
        <v>9.2498532184825039E-2</v>
      </c>
    </row>
    <row r="16" spans="1:25">
      <c r="A16" s="28" t="s">
        <v>55</v>
      </c>
      <c r="B16" s="35">
        <v>63688.168573000003</v>
      </c>
      <c r="C16" s="36">
        <v>5787</v>
      </c>
      <c r="D16" s="35">
        <v>5666.8499400000001</v>
      </c>
      <c r="E16" s="30">
        <f>Table20[[#This Row],[Observed Claims]]/Table20[[#This Row],[Exposure]]</f>
        <v>9.0864600594800962E-2</v>
      </c>
      <c r="F16" s="30">
        <f>Table20[[#This Row],[Predicted Claims]]/Table20[[#This Row],[Exposure]]</f>
        <v>8.8978064010501429E-2</v>
      </c>
      <c r="G16" s="24">
        <f>ABS(Table20[[#This Row],[Predicted Claims]]-Table20[[#This Row],[Observed Claims]])/Table20[[#This Row],[Observed Claims]]</f>
        <v>2.076206324520476E-2</v>
      </c>
      <c r="T16" s="29" t="s">
        <v>96</v>
      </c>
      <c r="U16" s="35">
        <v>153.86547899999999</v>
      </c>
      <c r="V16" s="40">
        <v>713.36228500000004</v>
      </c>
      <c r="W16" s="40">
        <v>852.82909099999995</v>
      </c>
      <c r="X16" s="35">
        <f t="shared" si="2"/>
        <v>139.46680599999991</v>
      </c>
      <c r="Y16" s="24">
        <f t="shared" si="3"/>
        <v>0.19550627911314361</v>
      </c>
    </row>
    <row r="17" spans="1:25">
      <c r="A17" s="29" t="s">
        <v>84</v>
      </c>
      <c r="B17" s="35">
        <v>5951.2392810000001</v>
      </c>
      <c r="C17" s="36">
        <v>863</v>
      </c>
      <c r="D17" s="35">
        <v>1006.25048</v>
      </c>
      <c r="E17" s="30">
        <f>Table20[[#This Row],[Observed Claims]]/Table20[[#This Row],[Exposure]]</f>
        <v>0.14501181338065577</v>
      </c>
      <c r="F17" s="30">
        <f>Table20[[#This Row],[Predicted Claims]]/Table20[[#This Row],[Exposure]]</f>
        <v>0.16908251079948469</v>
      </c>
      <c r="G17" s="24">
        <f>ABS(Table20[[#This Row],[Predicted Claims]]-Table20[[#This Row],[Observed Claims]])/Table20[[#This Row],[Observed Claims]]</f>
        <v>0.16599128621089229</v>
      </c>
      <c r="T17" s="28" t="s">
        <v>102</v>
      </c>
      <c r="U17" s="35">
        <v>42.778196999999999</v>
      </c>
      <c r="V17" s="39">
        <v>1730.9231259999999</v>
      </c>
      <c r="W17" s="39">
        <v>1544.985797</v>
      </c>
      <c r="X17" s="39">
        <f t="shared" si="2"/>
        <v>185.93732899999986</v>
      </c>
      <c r="Y17" s="44">
        <f t="shared" si="3"/>
        <v>0.10742090518467073</v>
      </c>
    </row>
    <row r="18" spans="1:25">
      <c r="A18" s="28" t="s">
        <v>90</v>
      </c>
      <c r="B18" s="35">
        <v>1786.2415759999999</v>
      </c>
      <c r="C18" s="36">
        <v>504</v>
      </c>
      <c r="D18" s="35">
        <v>437.34041999999999</v>
      </c>
      <c r="E18" s="30">
        <f>Table20[[#This Row],[Observed Claims]]/Table20[[#This Row],[Exposure]]</f>
        <v>0.28215668405201205</v>
      </c>
      <c r="F18" s="30">
        <f>Table20[[#This Row],[Predicted Claims]]/Table20[[#This Row],[Exposure]]</f>
        <v>0.24483833870856</v>
      </c>
      <c r="G18" s="24">
        <f>ABS(Table20[[#This Row],[Predicted Claims]]-Table20[[#This Row],[Observed Claims]])/Table20[[#This Row],[Observed Claims]]</f>
        <v>0.13226107142857144</v>
      </c>
      <c r="T18" s="29" t="s">
        <v>65</v>
      </c>
      <c r="U18" s="35">
        <v>2.13</v>
      </c>
      <c r="V18" s="40">
        <v>1059.211268</v>
      </c>
      <c r="W18" s="40">
        <v>3895.1178070000001</v>
      </c>
      <c r="X18" s="35">
        <f t="shared" si="2"/>
        <v>2835.9065390000001</v>
      </c>
      <c r="Y18" s="24">
        <f t="shared" si="3"/>
        <v>2.67737572727559</v>
      </c>
    </row>
    <row r="19" spans="1:25">
      <c r="A19" s="29" t="s">
        <v>96</v>
      </c>
      <c r="B19" s="35">
        <v>153.86547899999999</v>
      </c>
      <c r="C19" s="36">
        <v>64</v>
      </c>
      <c r="D19" s="35">
        <v>60.437576</v>
      </c>
      <c r="E19" s="30">
        <f>Table20[[#This Row],[Observed Claims]]/Table20[[#This Row],[Exposure]]</f>
        <v>0.41594775134713619</v>
      </c>
      <c r="F19" s="30">
        <f>Table20[[#This Row],[Predicted Claims]]/Table20[[#This Row],[Exposure]]</f>
        <v>0.39279490365736947</v>
      </c>
      <c r="G19" s="24">
        <f>ABS(Table20[[#This Row],[Predicted Claims]]-Table20[[#This Row],[Observed Claims]])/Table20[[#This Row],[Observed Claims]]</f>
        <v>5.5662875000000001E-2</v>
      </c>
    </row>
    <row r="20" spans="1:25">
      <c r="A20" s="28" t="s">
        <v>102</v>
      </c>
      <c r="B20" s="35">
        <v>42.778196999999999</v>
      </c>
      <c r="C20" s="36">
        <v>21</v>
      </c>
      <c r="D20" s="35">
        <v>29.331755000000001</v>
      </c>
      <c r="E20" s="30">
        <f>Table20[[#This Row],[Observed Claims]]/Table20[[#This Row],[Exposure]]</f>
        <v>0.49090428004714648</v>
      </c>
      <c r="F20" s="30">
        <f>Table20[[#This Row],[Predicted Claims]]/Table20[[#This Row],[Exposure]]</f>
        <v>0.68567067003782334</v>
      </c>
      <c r="G20" s="24">
        <f>ABS(Table20[[#This Row],[Predicted Claims]]-Table20[[#This Row],[Observed Claims]])/Table20[[#This Row],[Observed Claims]]</f>
        <v>0.39675023809523813</v>
      </c>
      <c r="T20" t="s">
        <v>17</v>
      </c>
      <c r="U20" s="41" t="s">
        <v>53</v>
      </c>
      <c r="V20" s="41" t="s">
        <v>162</v>
      </c>
      <c r="W20" s="41" t="s">
        <v>9</v>
      </c>
      <c r="X20" s="41" t="s">
        <v>163</v>
      </c>
      <c r="Y20" s="41" t="s">
        <v>161</v>
      </c>
    </row>
    <row r="21" spans="1:25">
      <c r="A21" s="29" t="s">
        <v>65</v>
      </c>
      <c r="B21" s="35">
        <v>2.13</v>
      </c>
      <c r="C21" s="36">
        <v>2</v>
      </c>
      <c r="D21" s="35">
        <v>4.2262550000000001</v>
      </c>
      <c r="E21" s="30">
        <f>Table20[[#This Row],[Observed Claims]]/Table20[[#This Row],[Exposure]]</f>
        <v>0.93896713615023475</v>
      </c>
      <c r="F21" s="30">
        <f>Table20[[#This Row],[Predicted Claims]]/Table20[[#This Row],[Exposure]]</f>
        <v>1.9841572769953053</v>
      </c>
      <c r="G21" s="24">
        <f>ABS(Table20[[#This Row],[Predicted Claims]]-Table20[[#This Row],[Observed Claims]])/Table20[[#This Row],[Observed Claims]]</f>
        <v>1.1131275</v>
      </c>
      <c r="T21" t="s">
        <v>78</v>
      </c>
      <c r="U21" s="35">
        <v>70160.166354000001</v>
      </c>
      <c r="V21" s="35">
        <v>168.03796700000001</v>
      </c>
      <c r="W21" s="39">
        <v>187.134231</v>
      </c>
      <c r="X21" s="39">
        <f>ABS(Table242627[[#This Row],[Predicted Loss Cost]]-Table242627[[#This Row],[Observed Loss Cost]])</f>
        <v>19.096263999999991</v>
      </c>
      <c r="Y21" s="44">
        <f>Table242627[[#This Row],[Difference]]/Table242627[[#This Row],[Observed Loss Cost]]</f>
        <v>0.11364255555412658</v>
      </c>
    </row>
    <row r="22" spans="1:25">
      <c r="T22" t="s">
        <v>83</v>
      </c>
      <c r="U22" s="35">
        <v>1427.716752</v>
      </c>
      <c r="V22" s="35">
        <v>52.999105</v>
      </c>
      <c r="W22" s="40">
        <v>73.833605000000006</v>
      </c>
      <c r="X22" s="35">
        <f>ABS(Table242627[[#This Row],[Predicted Loss Cost]]-Table242627[[#This Row],[Observed Loss Cost]])</f>
        <v>20.834500000000006</v>
      </c>
      <c r="Y22" s="24">
        <f>Table242627[[#This Row],[Difference]]/Table242627[[#This Row],[Observed Loss Cost]]</f>
        <v>0.39311041195884355</v>
      </c>
    </row>
    <row r="23" spans="1:25">
      <c r="A23" t="s">
        <v>17</v>
      </c>
      <c r="B23" t="s">
        <v>53</v>
      </c>
      <c r="C23" t="s">
        <v>165</v>
      </c>
      <c r="D23" t="s">
        <v>166</v>
      </c>
      <c r="E23" s="27" t="s">
        <v>41</v>
      </c>
      <c r="F23" t="s">
        <v>160</v>
      </c>
      <c r="G23" t="s">
        <v>161</v>
      </c>
      <c r="T23" t="s">
        <v>89</v>
      </c>
      <c r="U23" s="35">
        <v>26.86</v>
      </c>
      <c r="V23" s="35">
        <v>0</v>
      </c>
      <c r="W23" s="39">
        <v>17.42146</v>
      </c>
      <c r="X23" s="39">
        <f>ABS(Table242627[[#This Row],[Predicted Loss Cost]]-Table242627[[#This Row],[Observed Loss Cost]])</f>
        <v>17.42146</v>
      </c>
      <c r="Y23" s="46" t="s">
        <v>167</v>
      </c>
    </row>
    <row r="24" spans="1:25">
      <c r="A24" t="s">
        <v>78</v>
      </c>
      <c r="B24" s="35">
        <v>70160.166354000001</v>
      </c>
      <c r="C24" s="18">
        <v>7166</v>
      </c>
      <c r="D24" s="35">
        <v>7129.9472910000004</v>
      </c>
      <c r="E24" s="30">
        <f>Table2022[[#This Row],[Observed Claims]]/Table2022[[#This Row],[Exposure]]</f>
        <v>0.10213772817816942</v>
      </c>
      <c r="F24" s="30">
        <f>Table2022[[#This Row],[Predicted Claims]]/Table2022[[#This Row],[Exposure]]</f>
        <v>0.10162386524320868</v>
      </c>
      <c r="G24" s="24">
        <f>ABS(Table2022[[#This Row],[Predicted Claims]]-Table2022[[#This Row],[Observed Claims]])/Table2022[[#This Row],[Observed Claims]]</f>
        <v>5.0310785654478921E-3</v>
      </c>
      <c r="T24" t="s">
        <v>95</v>
      </c>
      <c r="U24" s="35">
        <v>0.08</v>
      </c>
      <c r="V24" s="35">
        <v>0</v>
      </c>
      <c r="W24" s="40">
        <v>11.695347999999999</v>
      </c>
      <c r="X24" s="35">
        <f>ABS(Table242627[[#This Row],[Predicted Loss Cost]]-Table242627[[#This Row],[Observed Loss Cost]])</f>
        <v>11.695347999999999</v>
      </c>
      <c r="Y24" s="33" t="s">
        <v>167</v>
      </c>
    </row>
    <row r="25" spans="1:25">
      <c r="A25" t="s">
        <v>83</v>
      </c>
      <c r="B25" s="35">
        <v>1427.716752</v>
      </c>
      <c r="C25" s="18">
        <v>74</v>
      </c>
      <c r="D25" s="35">
        <v>73.994451999999995</v>
      </c>
      <c r="E25" s="30">
        <f>Table2022[[#This Row],[Observed Claims]]/Table2022[[#This Row],[Exposure]]</f>
        <v>5.1831009124420499E-2</v>
      </c>
      <c r="F25" s="30">
        <f>Table2022[[#This Row],[Predicted Claims]]/Table2022[[#This Row],[Exposure]]</f>
        <v>5.1827123199574249E-2</v>
      </c>
      <c r="G25" s="24">
        <f>ABS(Table2022[[#This Row],[Predicted Claims]]-Table2022[[#This Row],[Observed Claims]])/Table2022[[#This Row],[Observed Claims]]</f>
        <v>7.4972972973034443E-5</v>
      </c>
      <c r="T25" t="s">
        <v>101</v>
      </c>
      <c r="U25" s="35">
        <v>9.6</v>
      </c>
      <c r="V25" s="35">
        <v>298.37291699999997</v>
      </c>
      <c r="W25" s="39">
        <v>2.452601</v>
      </c>
      <c r="X25" s="39">
        <f>ABS(Table242627[[#This Row],[Predicted Loss Cost]]-Table242627[[#This Row],[Observed Loss Cost]])</f>
        <v>295.92031599999996</v>
      </c>
      <c r="Y25" s="44">
        <f>Table242627[[#This Row],[Difference]]/Table242627[[#This Row],[Observed Loss Cost]]</f>
        <v>0.9917800817022544</v>
      </c>
    </row>
    <row r="26" spans="1:25">
      <c r="A26" t="s">
        <v>89</v>
      </c>
      <c r="B26" s="35">
        <v>26.86</v>
      </c>
      <c r="C26" s="18">
        <v>0</v>
      </c>
      <c r="D26" s="35">
        <v>0.447687</v>
      </c>
      <c r="E26" s="30">
        <f>Table2022[[#This Row],[Observed Claims]]/Table2022[[#This Row],[Exposure]]</f>
        <v>0</v>
      </c>
      <c r="F26" s="30">
        <f>Table2022[[#This Row],[Predicted Claims]]/Table2022[[#This Row],[Exposure]]</f>
        <v>1.6667423678332093E-2</v>
      </c>
      <c r="G26" s="33" t="s">
        <v>167</v>
      </c>
    </row>
    <row r="27" spans="1:25">
      <c r="A27" t="s">
        <v>95</v>
      </c>
      <c r="B27" s="35">
        <v>0.08</v>
      </c>
      <c r="C27" s="18">
        <v>0</v>
      </c>
      <c r="D27" s="35">
        <v>1.5770000000000001E-3</v>
      </c>
      <c r="E27" s="30">
        <f>Table2022[[#This Row],[Observed Claims]]/Table2022[[#This Row],[Exposure]]</f>
        <v>0</v>
      </c>
      <c r="F27" s="30">
        <f>Table2022[[#This Row],[Predicted Claims]]/Table2022[[#This Row],[Exposure]]</f>
        <v>1.9712500000000001E-2</v>
      </c>
      <c r="G27" s="33" t="s">
        <v>167</v>
      </c>
      <c r="T27" t="s">
        <v>15</v>
      </c>
      <c r="U27" s="41" t="s">
        <v>53</v>
      </c>
      <c r="V27" s="41" t="s">
        <v>162</v>
      </c>
      <c r="W27" s="41" t="s">
        <v>9</v>
      </c>
      <c r="X27" s="41" t="s">
        <v>163</v>
      </c>
      <c r="Y27" s="41" t="s">
        <v>161</v>
      </c>
    </row>
    <row r="28" spans="1:25">
      <c r="A28" t="s">
        <v>101</v>
      </c>
      <c r="B28" s="35">
        <v>9.6</v>
      </c>
      <c r="C28" s="18">
        <v>1</v>
      </c>
      <c r="D28" s="35">
        <v>4.5419000000000001E-2</v>
      </c>
      <c r="E28" s="30">
        <f>Table2022[[#This Row],[Observed Claims]]/Table2022[[#This Row],[Exposure]]</f>
        <v>0.10416666666666667</v>
      </c>
      <c r="F28" s="30">
        <f>Table2022[[#This Row],[Predicted Claims]]/Table2022[[#This Row],[Exposure]]</f>
        <v>4.7311458333333337E-3</v>
      </c>
      <c r="G28" s="24">
        <f>ABS(Table2022[[#This Row],[Predicted Claims]]-Table2022[[#This Row],[Observed Claims]])/Table2022[[#This Row],[Observed Claims]]</f>
        <v>0.95458100000000001</v>
      </c>
      <c r="T28" t="s">
        <v>79</v>
      </c>
      <c r="U28" s="35">
        <v>12361.203358000001</v>
      </c>
      <c r="V28" s="39">
        <v>133.71125799999999</v>
      </c>
      <c r="W28" s="39">
        <v>152.87539599999999</v>
      </c>
      <c r="X28" s="39">
        <f>ABS(V28-W28)</f>
        <v>19.164138000000008</v>
      </c>
      <c r="Y28" s="44">
        <f>X28/V28</f>
        <v>0.14332479019829436</v>
      </c>
    </row>
    <row r="29" spans="1:25">
      <c r="T29" t="s">
        <v>85</v>
      </c>
      <c r="U29" s="35">
        <v>8572.1000129999993</v>
      </c>
      <c r="V29" s="40">
        <v>102.121697</v>
      </c>
      <c r="W29" s="40">
        <v>197.003051</v>
      </c>
      <c r="X29" s="35">
        <f t="shared" ref="X29:X33" si="4">ABS(V29-W29)</f>
        <v>94.881354000000002</v>
      </c>
      <c r="Y29" s="24">
        <f t="shared" ref="Y29:Y33" si="5">X29/V29</f>
        <v>0.9291008354473389</v>
      </c>
    </row>
    <row r="30" spans="1:25">
      <c r="A30" t="s">
        <v>15</v>
      </c>
      <c r="B30" t="s">
        <v>53</v>
      </c>
      <c r="C30" t="s">
        <v>165</v>
      </c>
      <c r="D30" t="s">
        <v>166</v>
      </c>
      <c r="E30" s="27" t="s">
        <v>41</v>
      </c>
      <c r="F30" t="s">
        <v>160</v>
      </c>
      <c r="G30" t="s">
        <v>161</v>
      </c>
      <c r="T30" t="s">
        <v>91</v>
      </c>
      <c r="U30" s="35">
        <v>20707.461483999999</v>
      </c>
      <c r="V30" s="39">
        <v>136.103499</v>
      </c>
      <c r="W30" s="39">
        <v>153.889295</v>
      </c>
      <c r="X30" s="39">
        <f t="shared" si="4"/>
        <v>17.785796000000005</v>
      </c>
      <c r="Y30" s="44">
        <f t="shared" si="5"/>
        <v>0.13067846257207544</v>
      </c>
    </row>
    <row r="31" spans="1:25">
      <c r="A31" t="s">
        <v>79</v>
      </c>
      <c r="B31" s="35">
        <v>12361.203358000001</v>
      </c>
      <c r="C31" s="18">
        <v>1033</v>
      </c>
      <c r="D31" s="35">
        <v>1009.837871</v>
      </c>
      <c r="E31" s="30">
        <f>Table202223[[#This Row],[Observed Claims]]/Table202223[[#This Row],[Exposure]]</f>
        <v>8.3567915686093508E-2</v>
      </c>
      <c r="F31" s="30">
        <f>Table202223[[#This Row],[Predicted Claims]]/Table202223[[#This Row],[Exposure]]</f>
        <v>8.1694139458230564E-2</v>
      </c>
      <c r="G31" s="24">
        <f>ABS(Table202223[[#This Row],[Predicted Claims]]-Table202223[[#This Row],[Observed Claims]])/Table202223[[#This Row],[Observed Claims]]</f>
        <v>2.2422196515004888E-2</v>
      </c>
      <c r="T31" t="s">
        <v>97</v>
      </c>
      <c r="U31" s="35">
        <v>15524.99993</v>
      </c>
      <c r="V31" s="40">
        <v>158.329757</v>
      </c>
      <c r="W31" s="40">
        <v>200.27316300000001</v>
      </c>
      <c r="X31" s="35">
        <f t="shared" si="4"/>
        <v>41.94340600000001</v>
      </c>
      <c r="Y31" s="24">
        <f t="shared" si="5"/>
        <v>0.26491170576356038</v>
      </c>
    </row>
    <row r="32" spans="1:25">
      <c r="A32" t="s">
        <v>85</v>
      </c>
      <c r="B32" s="35">
        <v>8572.1000129999993</v>
      </c>
      <c r="C32" s="18">
        <v>750</v>
      </c>
      <c r="D32" s="35">
        <v>756.90766599999995</v>
      </c>
      <c r="E32" s="30">
        <f>Table202223[[#This Row],[Observed Claims]]/Table202223[[#This Row],[Exposure]]</f>
        <v>8.7493146237513461E-2</v>
      </c>
      <c r="F32" s="30">
        <f>Table202223[[#This Row],[Predicted Claims]]/Table202223[[#This Row],[Exposure]]</f>
        <v>8.8298977479510654E-2</v>
      </c>
      <c r="G32" s="24">
        <f>ABS(Table202223[[#This Row],[Predicted Claims]]-Table202223[[#This Row],[Observed Claims]])/Table202223[[#This Row],[Observed Claims]]</f>
        <v>9.2102213333332648E-3</v>
      </c>
      <c r="T32" t="s">
        <v>103</v>
      </c>
      <c r="U32" s="35">
        <v>12799.024605000001</v>
      </c>
      <c r="V32" s="39">
        <v>288.31615499999998</v>
      </c>
      <c r="W32" s="39">
        <v>238.77066400000001</v>
      </c>
      <c r="X32" s="39">
        <f t="shared" si="4"/>
        <v>49.54549099999997</v>
      </c>
      <c r="Y32" s="44">
        <f t="shared" si="5"/>
        <v>0.17184431097868927</v>
      </c>
    </row>
    <row r="33" spans="1:25">
      <c r="A33" t="s">
        <v>91</v>
      </c>
      <c r="B33" s="35">
        <v>20707.461483999999</v>
      </c>
      <c r="C33" s="18">
        <v>1964</v>
      </c>
      <c r="D33" s="35">
        <v>1954.8211819999999</v>
      </c>
      <c r="E33" s="30">
        <f>Table202223[[#This Row],[Observed Claims]]/Table202223[[#This Row],[Exposure]]</f>
        <v>9.4845039384355276E-2</v>
      </c>
      <c r="F33" s="30">
        <f>Table202223[[#This Row],[Predicted Claims]]/Table202223[[#This Row],[Exposure]]</f>
        <v>9.4401778002119116E-2</v>
      </c>
      <c r="G33" s="24">
        <f>ABS(Table202223[[#This Row],[Predicted Claims]]-Table202223[[#This Row],[Observed Claims]])/Table202223[[#This Row],[Observed Claims]]</f>
        <v>4.6735325865580914E-3</v>
      </c>
      <c r="T33" t="s">
        <v>106</v>
      </c>
      <c r="U33" s="35">
        <v>1659.633716</v>
      </c>
      <c r="V33" s="40">
        <v>224.917948</v>
      </c>
      <c r="W33" s="40">
        <v>183.71033299999999</v>
      </c>
      <c r="X33" s="35">
        <f t="shared" si="4"/>
        <v>41.207615000000004</v>
      </c>
      <c r="Y33" s="24">
        <f t="shared" si="5"/>
        <v>0.18321176840898443</v>
      </c>
    </row>
    <row r="34" spans="1:25">
      <c r="A34" t="s">
        <v>97</v>
      </c>
      <c r="B34" s="35">
        <v>15524.99993</v>
      </c>
      <c r="C34" s="18">
        <v>1708</v>
      </c>
      <c r="D34" s="35">
        <v>1689.162867</v>
      </c>
      <c r="E34" s="30">
        <f>Table202223[[#This Row],[Observed Claims]]/Table202223[[#This Row],[Exposure]]</f>
        <v>0.11001610355562816</v>
      </c>
      <c r="F34" s="30">
        <f>Table202223[[#This Row],[Predicted Claims]]/Table202223[[#This Row],[Exposure]]</f>
        <v>0.10880276164999635</v>
      </c>
      <c r="G34" s="24">
        <f>ABS(Table202223[[#This Row],[Predicted Claims]]-Table202223[[#This Row],[Observed Claims]])/Table202223[[#This Row],[Observed Claims]]</f>
        <v>1.1028766393442619E-2</v>
      </c>
    </row>
    <row r="35" spans="1:25">
      <c r="A35" t="s">
        <v>103</v>
      </c>
      <c r="B35" s="35">
        <v>12799.024605000001</v>
      </c>
      <c r="C35" s="18">
        <v>1556</v>
      </c>
      <c r="D35" s="35">
        <v>1561.0540759999999</v>
      </c>
      <c r="E35" s="30">
        <f>Table202223[[#This Row],[Observed Claims]]/Table202223[[#This Row],[Exposure]]</f>
        <v>0.12157176410084727</v>
      </c>
      <c r="F35" s="30">
        <f>Table202223[[#This Row],[Predicted Claims]]/Table202223[[#This Row],[Exposure]]</f>
        <v>0.12196664387926613</v>
      </c>
      <c r="G35" s="24">
        <f>ABS(Table202223[[#This Row],[Predicted Claims]]-Table202223[[#This Row],[Observed Claims]])/Table202223[[#This Row],[Observed Claims]]</f>
        <v>3.248120822622041E-3</v>
      </c>
      <c r="T35" s="27" t="s">
        <v>19</v>
      </c>
      <c r="U35" s="27" t="s">
        <v>53</v>
      </c>
      <c r="V35" s="41" t="s">
        <v>162</v>
      </c>
      <c r="W35" s="41" t="s">
        <v>9</v>
      </c>
      <c r="X35" s="41" t="s">
        <v>163</v>
      </c>
      <c r="Y35" s="41" t="s">
        <v>161</v>
      </c>
    </row>
    <row r="36" spans="1:25">
      <c r="A36" t="s">
        <v>106</v>
      </c>
      <c r="B36" s="35">
        <v>1659.633716</v>
      </c>
      <c r="C36" s="18">
        <v>230</v>
      </c>
      <c r="D36" s="35">
        <v>232.65276299999999</v>
      </c>
      <c r="E36" s="30">
        <f>Table202223[[#This Row],[Observed Claims]]/Table202223[[#This Row],[Exposure]]</f>
        <v>0.13858479602013579</v>
      </c>
      <c r="F36" s="30">
        <f>Table202223[[#This Row],[Predicted Claims]]/Table202223[[#This Row],[Exposure]]</f>
        <v>0.14018319871250434</v>
      </c>
      <c r="G36" s="24">
        <f>ABS(Table202223[[#This Row],[Predicted Claims]]-Table202223[[#This Row],[Observed Claims]])/Table202223[[#This Row],[Observed Claims]]</f>
        <v>1.1533752173913014E-2</v>
      </c>
      <c r="T36" s="28" t="s">
        <v>115</v>
      </c>
      <c r="U36" s="39">
        <v>241.42821900000001</v>
      </c>
      <c r="V36" s="35">
        <v>106.22532099999999</v>
      </c>
      <c r="W36" s="35">
        <v>184.30373800000001</v>
      </c>
      <c r="X36" s="35">
        <f>ABS(Table28[[#This Row],[Predicted Loss Cost]]-Table28[[#This Row],[Observed Loss Cost]])</f>
        <v>78.078417000000016</v>
      </c>
      <c r="Y36" s="24">
        <f>Table28[[#This Row],[Difference]]/Table28[[#This Row],[Observed Loss Cost]]</f>
        <v>0.73502641615928865</v>
      </c>
    </row>
    <row r="37" spans="1:25">
      <c r="T37" s="29" t="s">
        <v>110</v>
      </c>
      <c r="U37" s="40">
        <v>2820.0211920000002</v>
      </c>
      <c r="V37" s="35">
        <v>190.31607</v>
      </c>
      <c r="W37" s="35">
        <v>210.984791</v>
      </c>
      <c r="X37" s="35">
        <f>ABS(Table28[[#This Row],[Predicted Loss Cost]]-Table28[[#This Row],[Observed Loss Cost]])</f>
        <v>20.668721000000005</v>
      </c>
      <c r="Y37" s="24">
        <f>Table28[[#This Row],[Difference]]/Table28[[#This Row],[Observed Loss Cost]]</f>
        <v>0.10860207968775315</v>
      </c>
    </row>
    <row r="38" spans="1:25">
      <c r="A38" t="s">
        <v>19</v>
      </c>
      <c r="B38" t="s">
        <v>53</v>
      </c>
      <c r="C38" t="s">
        <v>165</v>
      </c>
      <c r="D38" t="s">
        <v>166</v>
      </c>
      <c r="E38" s="27" t="s">
        <v>41</v>
      </c>
      <c r="F38" t="s">
        <v>160</v>
      </c>
      <c r="G38" t="s">
        <v>161</v>
      </c>
      <c r="T38" s="28" t="s">
        <v>122</v>
      </c>
      <c r="U38" s="39">
        <v>436.08388300000001</v>
      </c>
      <c r="V38" s="35">
        <v>57.449886999999997</v>
      </c>
      <c r="W38" s="35">
        <v>79.921709000000007</v>
      </c>
      <c r="X38" s="35">
        <f>ABS(Table28[[#This Row],[Predicted Loss Cost]]-Table28[[#This Row],[Observed Loss Cost]])</f>
        <v>22.47182200000001</v>
      </c>
      <c r="Y38" s="24">
        <f>Table28[[#This Row],[Difference]]/Table28[[#This Row],[Observed Loss Cost]]</f>
        <v>0.39115519931309894</v>
      </c>
    </row>
    <row r="39" spans="1:25">
      <c r="A39" t="s">
        <v>115</v>
      </c>
      <c r="B39" s="35">
        <v>241.42821900000001</v>
      </c>
      <c r="C39" s="36">
        <v>29</v>
      </c>
      <c r="D39" s="35">
        <v>26.072876999999998</v>
      </c>
      <c r="E39" s="30">
        <f>Table202224[[#This Row],[Observed Claims]]/Table202224[[#This Row],[Exposure]]</f>
        <v>0.12011851853987292</v>
      </c>
      <c r="F39" s="30">
        <f>Table202224[[#This Row],[Predicted Claims]]/Table202224[[#This Row],[Exposure]]</f>
        <v>0.10799432273490779</v>
      </c>
      <c r="G39" s="24">
        <f>ABS(Table202224[[#This Row],[Predicted Claims]]-Table202224[[#This Row],[Observed Claims]])/Table202224[[#This Row],[Observed Claims]]</f>
        <v>0.10093527586206902</v>
      </c>
      <c r="T39" s="29" t="s">
        <v>112</v>
      </c>
      <c r="U39" s="40">
        <v>1347.4923530000001</v>
      </c>
      <c r="V39" s="35">
        <v>150.03069199999999</v>
      </c>
      <c r="W39" s="35">
        <v>184.197562</v>
      </c>
      <c r="X39" s="35">
        <f>ABS(Table28[[#This Row],[Predicted Loss Cost]]-Table28[[#This Row],[Observed Loss Cost]])</f>
        <v>34.166870000000017</v>
      </c>
      <c r="Y39" s="24">
        <f>Table28[[#This Row],[Difference]]/Table28[[#This Row],[Observed Loss Cost]]</f>
        <v>0.22773253621998904</v>
      </c>
    </row>
    <row r="40" spans="1:25">
      <c r="A40" t="s">
        <v>110</v>
      </c>
      <c r="B40" s="35">
        <v>2820.0211920000002</v>
      </c>
      <c r="C40" s="36">
        <v>310</v>
      </c>
      <c r="D40" s="35">
        <v>268.66569700000002</v>
      </c>
      <c r="E40" s="30">
        <f>Table202224[[#This Row],[Observed Claims]]/Table202224[[#This Row],[Exposure]]</f>
        <v>0.10992825191506575</v>
      </c>
      <c r="F40" s="30">
        <f>Table202224[[#This Row],[Predicted Claims]]/Table202224[[#This Row],[Exposure]]</f>
        <v>9.5270807808879754E-2</v>
      </c>
      <c r="G40" s="24">
        <f>ABS(Table202224[[#This Row],[Predicted Claims]]-Table202224[[#This Row],[Observed Claims]])/Table202224[[#This Row],[Observed Claims]]</f>
        <v>0.13333646129032251</v>
      </c>
      <c r="T40" s="28" t="s">
        <v>121</v>
      </c>
      <c r="U40" s="39">
        <v>988.56501600000001</v>
      </c>
      <c r="V40" s="35">
        <v>124.326168</v>
      </c>
      <c r="W40" s="35">
        <v>237.78838999999999</v>
      </c>
      <c r="X40" s="35">
        <f>ABS(Table28[[#This Row],[Predicted Loss Cost]]-Table28[[#This Row],[Observed Loss Cost]])</f>
        <v>113.462222</v>
      </c>
      <c r="Y40" s="24">
        <f>Table28[[#This Row],[Difference]]/Table28[[#This Row],[Observed Loss Cost]]</f>
        <v>0.91261738236796619</v>
      </c>
    </row>
    <row r="41" spans="1:25">
      <c r="A41" t="s">
        <v>122</v>
      </c>
      <c r="B41" s="35">
        <v>436.08388300000001</v>
      </c>
      <c r="C41" s="36">
        <v>34</v>
      </c>
      <c r="D41" s="35">
        <v>35.893090999999998</v>
      </c>
      <c r="E41" s="30">
        <f>Table202224[[#This Row],[Observed Claims]]/Table202224[[#This Row],[Exposure]]</f>
        <v>7.7966651200452639E-2</v>
      </c>
      <c r="F41" s="30">
        <f>Table202224[[#This Row],[Predicted Claims]]/Table202224[[#This Row],[Exposure]]</f>
        <v>8.2307767838326634E-2</v>
      </c>
      <c r="G41" s="24">
        <f>ABS(Table202224[[#This Row],[Predicted Claims]]-Table202224[[#This Row],[Observed Claims]])/Table202224[[#This Row],[Observed Claims]]</f>
        <v>5.5679147058823479E-2</v>
      </c>
      <c r="T41" s="29" t="s">
        <v>117</v>
      </c>
      <c r="U41" s="40">
        <v>5561.5289210000001</v>
      </c>
      <c r="V41" s="35">
        <v>113.88511699999999</v>
      </c>
      <c r="W41" s="35">
        <v>142.13219699999999</v>
      </c>
      <c r="X41" s="35">
        <f>ABS(Table28[[#This Row],[Predicted Loss Cost]]-Table28[[#This Row],[Observed Loss Cost]])</f>
        <v>28.247079999999997</v>
      </c>
      <c r="Y41" s="24">
        <f>Table28[[#This Row],[Difference]]/Table28[[#This Row],[Observed Loss Cost]]</f>
        <v>0.24803135601994419</v>
      </c>
    </row>
    <row r="42" spans="1:25">
      <c r="A42" t="s">
        <v>112</v>
      </c>
      <c r="B42" s="35">
        <v>1347.4923530000001</v>
      </c>
      <c r="C42" s="36">
        <v>137</v>
      </c>
      <c r="D42" s="35">
        <v>127.73979300000001</v>
      </c>
      <c r="E42" s="30">
        <f>Table202224[[#This Row],[Observed Claims]]/Table202224[[#This Row],[Exposure]]</f>
        <v>0.10167033578705585</v>
      </c>
      <c r="F42" s="30">
        <f>Table202224[[#This Row],[Predicted Claims]]/Table202224[[#This Row],[Exposure]]</f>
        <v>9.4798158012255523E-2</v>
      </c>
      <c r="G42" s="24">
        <f>ABS(Table202224[[#This Row],[Predicted Claims]]-Table202224[[#This Row],[Observed Claims]])/Table202224[[#This Row],[Observed Claims]]</f>
        <v>6.7592751824817471E-2</v>
      </c>
      <c r="T42" s="28" t="s">
        <v>88</v>
      </c>
      <c r="U42" s="39">
        <v>20280.917057999999</v>
      </c>
      <c r="V42" s="35">
        <v>126.178206</v>
      </c>
      <c r="W42" s="35">
        <v>157.324501</v>
      </c>
      <c r="X42" s="35">
        <f>ABS(Table28[[#This Row],[Predicted Loss Cost]]-Table28[[#This Row],[Observed Loss Cost]])</f>
        <v>31.146294999999995</v>
      </c>
      <c r="Y42" s="24">
        <f>Table28[[#This Row],[Difference]]/Table28[[#This Row],[Observed Loss Cost]]</f>
        <v>0.24684369818984425</v>
      </c>
    </row>
    <row r="43" spans="1:25">
      <c r="A43" t="s">
        <v>121</v>
      </c>
      <c r="B43" s="35">
        <v>988.56501600000001</v>
      </c>
      <c r="C43" s="36">
        <v>84</v>
      </c>
      <c r="D43" s="35">
        <v>100.54488499999999</v>
      </c>
      <c r="E43" s="30">
        <f>Table202224[[#This Row],[Observed Claims]]/Table202224[[#This Row],[Exposure]]</f>
        <v>8.4971649451936498E-2</v>
      </c>
      <c r="F43" s="30">
        <f>Table202224[[#This Row],[Predicted Claims]]/Table202224[[#This Row],[Exposure]]</f>
        <v>0.10170791336196748</v>
      </c>
      <c r="G43" s="24">
        <f>ABS(Table202224[[#This Row],[Predicted Claims]]-Table202224[[#This Row],[Observed Claims]])/Table202224[[#This Row],[Observed Claims]]</f>
        <v>0.1969629166666666</v>
      </c>
      <c r="T43" s="29" t="s">
        <v>118</v>
      </c>
      <c r="U43" s="40">
        <v>224.379178</v>
      </c>
      <c r="V43" s="35">
        <v>1785.4913879999999</v>
      </c>
      <c r="W43" s="35">
        <v>351.71442300000001</v>
      </c>
      <c r="X43" s="35">
        <f>ABS(Table28[[#This Row],[Predicted Loss Cost]]-Table28[[#This Row],[Observed Loss Cost]])</f>
        <v>1433.776965</v>
      </c>
      <c r="Y43" s="24">
        <f>Table28[[#This Row],[Difference]]/Table28[[#This Row],[Observed Loss Cost]]</f>
        <v>0.80301533495831123</v>
      </c>
    </row>
    <row r="44" spans="1:25">
      <c r="A44" t="s">
        <v>117</v>
      </c>
      <c r="B44" s="35">
        <v>5561.5289210000001</v>
      </c>
      <c r="C44" s="36">
        <v>541</v>
      </c>
      <c r="D44" s="35">
        <v>540.38585599999999</v>
      </c>
      <c r="E44" s="30">
        <f>Table202224[[#This Row],[Observed Claims]]/Table202224[[#This Row],[Exposure]]</f>
        <v>9.7275408918079412E-2</v>
      </c>
      <c r="F44" s="30">
        <f>Table202224[[#This Row],[Predicted Claims]]/Table202224[[#This Row],[Exposure]]</f>
        <v>9.716498173003027E-2</v>
      </c>
      <c r="G44" s="24">
        <f>ABS(Table202224[[#This Row],[Predicted Claims]]-Table202224[[#This Row],[Observed Claims]])/Table202224[[#This Row],[Observed Claims]]</f>
        <v>1.1352014787430872E-3</v>
      </c>
      <c r="T44" s="28" t="s">
        <v>94</v>
      </c>
      <c r="U44" s="39">
        <v>351.22736700000002</v>
      </c>
      <c r="V44" s="35">
        <v>118.75022800000001</v>
      </c>
      <c r="W44" s="35">
        <v>282.14218</v>
      </c>
      <c r="X44" s="35">
        <f>ABS(Table28[[#This Row],[Predicted Loss Cost]]-Table28[[#This Row],[Observed Loss Cost]])</f>
        <v>163.391952</v>
      </c>
      <c r="Y44" s="24">
        <f>Table28[[#This Row],[Difference]]/Table28[[#This Row],[Observed Loss Cost]]</f>
        <v>1.3759295855836167</v>
      </c>
    </row>
    <row r="45" spans="1:25">
      <c r="A45" t="s">
        <v>88</v>
      </c>
      <c r="B45" s="35">
        <v>20280.917057999999</v>
      </c>
      <c r="C45" s="36">
        <v>1825</v>
      </c>
      <c r="D45" s="35">
        <v>1808.272534</v>
      </c>
      <c r="E45" s="30">
        <f>Table202224[[#This Row],[Observed Claims]]/Table202224[[#This Row],[Exposure]]</f>
        <v>8.9986068912998762E-2</v>
      </c>
      <c r="F45" s="30">
        <f>Table202224[[#This Row],[Predicted Claims]]/Table202224[[#This Row],[Exposure]]</f>
        <v>8.9161280470140755E-2</v>
      </c>
      <c r="G45" s="24">
        <f>ABS(Table202224[[#This Row],[Predicted Claims]]-Table202224[[#This Row],[Observed Claims]])/Table202224[[#This Row],[Observed Claims]]</f>
        <v>9.1657347945205744E-3</v>
      </c>
      <c r="T45" s="29" t="s">
        <v>100</v>
      </c>
      <c r="U45" s="40">
        <v>124.164613</v>
      </c>
      <c r="V45" s="35">
        <v>77.729795999999993</v>
      </c>
      <c r="W45" s="35">
        <v>147.53750700000001</v>
      </c>
      <c r="X45" s="35">
        <f>ABS(Table28[[#This Row],[Predicted Loss Cost]]-Table28[[#This Row],[Observed Loss Cost]])</f>
        <v>69.807711000000012</v>
      </c>
      <c r="Y45" s="24">
        <f>Table28[[#This Row],[Difference]]/Table28[[#This Row],[Observed Loss Cost]]</f>
        <v>0.89808174718482492</v>
      </c>
    </row>
    <row r="46" spans="1:25">
      <c r="A46" t="s">
        <v>118</v>
      </c>
      <c r="B46" s="37">
        <v>224.379178</v>
      </c>
      <c r="C46" s="38">
        <v>36</v>
      </c>
      <c r="D46" s="37">
        <v>30.977001999999999</v>
      </c>
      <c r="E46" s="34">
        <f>Table202224[[#This Row],[Observed Claims]]/Table202224[[#This Row],[Exposure]]</f>
        <v>0.16044269490995283</v>
      </c>
      <c r="F46" s="34">
        <f>Table202224[[#This Row],[Predicted Claims]]/Table202224[[#This Row],[Exposure]]</f>
        <v>0.13805649114197219</v>
      </c>
      <c r="G46" s="24">
        <f>ABS(Table202224[[#This Row],[Predicted Claims]]-Table202224[[#This Row],[Observed Claims]])/Table202224[[#This Row],[Observed Claims]]</f>
        <v>0.13952772222222226</v>
      </c>
      <c r="T46" s="28" t="s">
        <v>114</v>
      </c>
      <c r="U46" s="39">
        <v>637.23485700000003</v>
      </c>
      <c r="V46" s="35">
        <v>110.427183</v>
      </c>
      <c r="W46" s="35">
        <v>179.95324600000001</v>
      </c>
      <c r="X46" s="35">
        <f>ABS(Table28[[#This Row],[Predicted Loss Cost]]-Table28[[#This Row],[Observed Loss Cost]])</f>
        <v>69.526063000000008</v>
      </c>
      <c r="Y46" s="24">
        <f>Table28[[#This Row],[Difference]]/Table28[[#This Row],[Observed Loss Cost]]</f>
        <v>0.62961003904265134</v>
      </c>
    </row>
    <row r="47" spans="1:25">
      <c r="A47" t="s">
        <v>94</v>
      </c>
      <c r="B47" s="35">
        <v>351.22736700000002</v>
      </c>
      <c r="C47" s="36">
        <v>48</v>
      </c>
      <c r="D47" s="35">
        <v>48.302785</v>
      </c>
      <c r="E47" s="30">
        <f>Table202224[[#This Row],[Observed Claims]]/Table202224[[#This Row],[Exposure]]</f>
        <v>0.13666361027043772</v>
      </c>
      <c r="F47" s="30">
        <f>Table202224[[#This Row],[Predicted Claims]]/Table202224[[#This Row],[Exposure]]</f>
        <v>0.13752568717118219</v>
      </c>
      <c r="G47" s="24">
        <f>ABS(Table202224[[#This Row],[Predicted Claims]]-Table202224[[#This Row],[Observed Claims]])/Table202224[[#This Row],[Observed Claims]]</f>
        <v>6.3080208333333347E-3</v>
      </c>
      <c r="T47" s="29" t="s">
        <v>109</v>
      </c>
      <c r="U47" s="40">
        <v>6082.2843549999998</v>
      </c>
      <c r="V47" s="35">
        <v>177.36219299999999</v>
      </c>
      <c r="W47" s="35">
        <v>252.15437499999999</v>
      </c>
      <c r="X47" s="35">
        <f>ABS(Table28[[#This Row],[Predicted Loss Cost]]-Table28[[#This Row],[Observed Loss Cost]])</f>
        <v>74.792181999999997</v>
      </c>
      <c r="Y47" s="24">
        <f>Table28[[#This Row],[Difference]]/Table28[[#This Row],[Observed Loss Cost]]</f>
        <v>0.42169179764257875</v>
      </c>
    </row>
    <row r="48" spans="1:25">
      <c r="A48" t="s">
        <v>100</v>
      </c>
      <c r="B48" s="35">
        <v>124.164613</v>
      </c>
      <c r="C48" s="36">
        <v>15</v>
      </c>
      <c r="D48" s="35">
        <v>13.028674000000001</v>
      </c>
      <c r="E48" s="30">
        <f>Table202224[[#This Row],[Observed Claims]]/Table202224[[#This Row],[Exposure]]</f>
        <v>0.12080736723272355</v>
      </c>
      <c r="F48" s="30">
        <f>Table202224[[#This Row],[Predicted Claims]]/Table202224[[#This Row],[Exposure]]</f>
        <v>0.10493065363156248</v>
      </c>
      <c r="G48" s="24">
        <f>ABS(Table202224[[#This Row],[Predicted Claims]]-Table202224[[#This Row],[Observed Claims]])/Table202224[[#This Row],[Observed Claims]]</f>
        <v>0.13142173333333329</v>
      </c>
      <c r="T48" s="28" t="s">
        <v>116</v>
      </c>
      <c r="U48" s="39">
        <v>3018.4229879999998</v>
      </c>
      <c r="V48" s="35">
        <v>110.929131</v>
      </c>
      <c r="W48" s="35">
        <v>241.427459</v>
      </c>
      <c r="X48" s="35">
        <f>ABS(Table28[[#This Row],[Predicted Loss Cost]]-Table28[[#This Row],[Observed Loss Cost]])</f>
        <v>130.49832800000001</v>
      </c>
      <c r="Y48" s="24">
        <f>Table28[[#This Row],[Difference]]/Table28[[#This Row],[Observed Loss Cost]]</f>
        <v>1.1764117037931183</v>
      </c>
    </row>
    <row r="49" spans="1:25">
      <c r="A49" t="s">
        <v>114</v>
      </c>
      <c r="B49" s="35">
        <v>637.23485700000003</v>
      </c>
      <c r="C49" s="36">
        <v>58</v>
      </c>
      <c r="D49" s="35">
        <v>60.106783999999998</v>
      </c>
      <c r="E49" s="30">
        <f>Table202224[[#This Row],[Observed Claims]]/Table202224[[#This Row],[Exposure]]</f>
        <v>9.1018247609766262E-2</v>
      </c>
      <c r="F49" s="30">
        <f>Table202224[[#This Row],[Predicted Claims]]/Table202224[[#This Row],[Exposure]]</f>
        <v>9.4324381881702363E-2</v>
      </c>
      <c r="G49" s="24">
        <f>ABS(Table202224[[#This Row],[Predicted Claims]]-Table202224[[#This Row],[Observed Claims]])/Table202224[[#This Row],[Observed Claims]]</f>
        <v>3.6323862068965478E-2</v>
      </c>
      <c r="T49" s="29" t="s">
        <v>82</v>
      </c>
      <c r="U49" s="40">
        <v>500.73282399999999</v>
      </c>
      <c r="V49" s="35">
        <v>159.59840500000001</v>
      </c>
      <c r="W49" s="35">
        <v>124.331458</v>
      </c>
      <c r="X49" s="35">
        <f>ABS(Table28[[#This Row],[Predicted Loss Cost]]-Table28[[#This Row],[Observed Loss Cost]])</f>
        <v>35.266947000000016</v>
      </c>
      <c r="Y49" s="24">
        <f>Table28[[#This Row],[Difference]]/Table28[[#This Row],[Observed Loss Cost]]</f>
        <v>0.22097305421066091</v>
      </c>
    </row>
    <row r="50" spans="1:25">
      <c r="A50" t="s">
        <v>109</v>
      </c>
      <c r="B50" s="35">
        <v>6082.2843549999998</v>
      </c>
      <c r="C50" s="36">
        <v>817</v>
      </c>
      <c r="D50" s="35">
        <v>807.03695800000003</v>
      </c>
      <c r="E50" s="30">
        <f>Table202224[[#This Row],[Observed Claims]]/Table202224[[#This Row],[Exposure]]</f>
        <v>0.13432453208610304</v>
      </c>
      <c r="F50" s="30">
        <f>Table202224[[#This Row],[Predicted Claims]]/Table202224[[#This Row],[Exposure]]</f>
        <v>0.13268648930176499</v>
      </c>
      <c r="G50" s="24">
        <f>ABS(Table202224[[#This Row],[Predicted Claims]]-Table202224[[#This Row],[Observed Claims]])/Table202224[[#This Row],[Observed Claims]]</f>
        <v>1.2194665850673162E-2</v>
      </c>
      <c r="T50" s="28" t="s">
        <v>111</v>
      </c>
      <c r="U50" s="39">
        <v>1416.817133</v>
      </c>
      <c r="V50" s="35">
        <v>70.145672000000005</v>
      </c>
      <c r="W50" s="35">
        <v>124.901363</v>
      </c>
      <c r="X50" s="35">
        <f>ABS(Table28[[#This Row],[Predicted Loss Cost]]-Table28[[#This Row],[Observed Loss Cost]])</f>
        <v>54.755690999999999</v>
      </c>
      <c r="Y50" s="24">
        <f>Table28[[#This Row],[Difference]]/Table28[[#This Row],[Observed Loss Cost]]</f>
        <v>0.78059970685005331</v>
      </c>
    </row>
    <row r="51" spans="1:25">
      <c r="A51" t="s">
        <v>116</v>
      </c>
      <c r="B51" s="35">
        <v>3018.4229879999998</v>
      </c>
      <c r="C51" s="36">
        <v>305</v>
      </c>
      <c r="D51" s="35">
        <v>316.38147300000003</v>
      </c>
      <c r="E51" s="30">
        <f>Table202224[[#This Row],[Observed Claims]]/Table202224[[#This Row],[Exposure]]</f>
        <v>0.10104614270847848</v>
      </c>
      <c r="F51" s="30">
        <f>Table202224[[#This Row],[Predicted Claims]]/Table202224[[#This Row],[Exposure]]</f>
        <v>0.10481681138057912</v>
      </c>
      <c r="G51" s="24">
        <f>ABS(Table202224[[#This Row],[Predicted Claims]]-Table202224[[#This Row],[Observed Claims]])/Table202224[[#This Row],[Observed Claims]]</f>
        <v>3.731630491803288E-2</v>
      </c>
      <c r="T51" s="29" t="s">
        <v>123</v>
      </c>
      <c r="U51" s="40">
        <v>3968.0095879999999</v>
      </c>
      <c r="V51" s="35">
        <v>142.54838799999999</v>
      </c>
      <c r="W51" s="35">
        <v>195.36446100000001</v>
      </c>
      <c r="X51" s="35">
        <f>ABS(Table28[[#This Row],[Predicted Loss Cost]]-Table28[[#This Row],[Observed Loss Cost]])</f>
        <v>52.816073000000017</v>
      </c>
      <c r="Y51" s="24">
        <f>Table28[[#This Row],[Difference]]/Table28[[#This Row],[Observed Loss Cost]]</f>
        <v>0.3705132954572592</v>
      </c>
    </row>
    <row r="52" spans="1:25">
      <c r="A52" t="s">
        <v>82</v>
      </c>
      <c r="B52" s="35">
        <v>500.73282399999999</v>
      </c>
      <c r="C52" s="36">
        <v>62</v>
      </c>
      <c r="D52" s="35">
        <v>53.302233000000001</v>
      </c>
      <c r="E52" s="30">
        <f>Table202224[[#This Row],[Observed Claims]]/Table202224[[#This Row],[Exposure]]</f>
        <v>0.12381852562555395</v>
      </c>
      <c r="F52" s="30">
        <f>Table202224[[#This Row],[Predicted Claims]]/Table202224[[#This Row],[Exposure]]</f>
        <v>0.1064484500420927</v>
      </c>
      <c r="G52" s="24">
        <f>ABS(Table202224[[#This Row],[Predicted Claims]]-Table202224[[#This Row],[Observed Claims]])/Table202224[[#This Row],[Observed Claims]]</f>
        <v>0.140286564516129</v>
      </c>
      <c r="T52" s="28" t="s">
        <v>105</v>
      </c>
      <c r="U52" s="39">
        <v>4374.3039570000001</v>
      </c>
      <c r="V52" s="35">
        <v>107.415215</v>
      </c>
      <c r="W52" s="35">
        <v>124.116619</v>
      </c>
      <c r="X52" s="35">
        <f>ABS(Table28[[#This Row],[Predicted Loss Cost]]-Table28[[#This Row],[Observed Loss Cost]])</f>
        <v>16.701403999999997</v>
      </c>
      <c r="Y52" s="24">
        <f>Table28[[#This Row],[Difference]]/Table28[[#This Row],[Observed Loss Cost]]</f>
        <v>0.15548452796002871</v>
      </c>
    </row>
    <row r="53" spans="1:25">
      <c r="A53" t="s">
        <v>111</v>
      </c>
      <c r="B53" s="35">
        <v>1416.817133</v>
      </c>
      <c r="C53" s="36">
        <v>133</v>
      </c>
      <c r="D53" s="35">
        <v>139.10931400000001</v>
      </c>
      <c r="E53" s="30">
        <f>Table202224[[#This Row],[Observed Claims]]/Table202224[[#This Row],[Exposure]]</f>
        <v>9.3872382611849742E-2</v>
      </c>
      <c r="F53" s="30">
        <f>Table202224[[#This Row],[Predicted Claims]]/Table202224[[#This Row],[Exposure]]</f>
        <v>9.818438156902215E-2</v>
      </c>
      <c r="G53" s="24">
        <f>ABS(Table202224[[#This Row],[Predicted Claims]]-Table202224[[#This Row],[Observed Claims]])/Table202224[[#This Row],[Observed Claims]]</f>
        <v>4.59346917293234E-2</v>
      </c>
      <c r="T53" s="29" t="s">
        <v>120</v>
      </c>
      <c r="U53" s="40">
        <v>672.67864699999996</v>
      </c>
      <c r="V53" s="35">
        <v>404.26072799999997</v>
      </c>
      <c r="W53" s="35">
        <v>172.29565700000001</v>
      </c>
      <c r="X53" s="35">
        <f>ABS(Table28[[#This Row],[Predicted Loss Cost]]-Table28[[#This Row],[Observed Loss Cost]])</f>
        <v>231.96507099999997</v>
      </c>
      <c r="Y53" s="24">
        <f>Table28[[#This Row],[Difference]]/Table28[[#This Row],[Observed Loss Cost]]</f>
        <v>0.57380065619433596</v>
      </c>
    </row>
    <row r="54" spans="1:25">
      <c r="A54" t="s">
        <v>123</v>
      </c>
      <c r="B54" s="35">
        <v>3968.0095879999999</v>
      </c>
      <c r="C54" s="36">
        <v>359</v>
      </c>
      <c r="D54" s="35">
        <v>361.67719899999997</v>
      </c>
      <c r="E54" s="30">
        <f>Table202224[[#This Row],[Observed Claims]]/Table202224[[#This Row],[Exposure]]</f>
        <v>9.0473571708516748E-2</v>
      </c>
      <c r="F54" s="30">
        <f>Table202224[[#This Row],[Predicted Claims]]/Table202224[[#This Row],[Exposure]]</f>
        <v>9.1148267406857886E-2</v>
      </c>
      <c r="G54" s="24">
        <f>ABS(Table202224[[#This Row],[Predicted Claims]]-Table202224[[#This Row],[Observed Claims]])/Table202224[[#This Row],[Observed Claims]]</f>
        <v>7.4573788300834913E-3</v>
      </c>
      <c r="T54" s="28" t="s">
        <v>119</v>
      </c>
      <c r="U54" s="39">
        <v>2262.9916779999999</v>
      </c>
      <c r="V54" s="35">
        <v>115.588688</v>
      </c>
      <c r="W54" s="35">
        <v>123.47526499999999</v>
      </c>
      <c r="X54" s="35">
        <f>ABS(Table28[[#This Row],[Predicted Loss Cost]]-Table28[[#This Row],[Observed Loss Cost]])</f>
        <v>7.8865769999999884</v>
      </c>
      <c r="Y54" s="24">
        <f>Table28[[#This Row],[Difference]]/Table28[[#This Row],[Observed Loss Cost]]</f>
        <v>6.8229661020116322E-2</v>
      </c>
    </row>
    <row r="55" spans="1:25">
      <c r="A55" t="s">
        <v>105</v>
      </c>
      <c r="B55" s="35">
        <v>4374.3039570000001</v>
      </c>
      <c r="C55" s="36">
        <v>391</v>
      </c>
      <c r="D55" s="35">
        <v>399.524809</v>
      </c>
      <c r="E55" s="30">
        <f>Table202224[[#This Row],[Observed Claims]]/Table202224[[#This Row],[Exposure]]</f>
        <v>8.9385649429848252E-2</v>
      </c>
      <c r="F55" s="30">
        <f>Table202224[[#This Row],[Predicted Claims]]/Table202224[[#This Row],[Exposure]]</f>
        <v>9.1334487252688182E-2</v>
      </c>
      <c r="G55" s="24">
        <f>ABS(Table202224[[#This Row],[Predicted Claims]]-Table202224[[#This Row],[Observed Claims]])/Table202224[[#This Row],[Observed Claims]]</f>
        <v>2.1802580562659858E-2</v>
      </c>
      <c r="T55" s="29" t="s">
        <v>113</v>
      </c>
      <c r="U55" s="40">
        <v>7254.0438539999996</v>
      </c>
      <c r="V55" s="35">
        <v>247.647535</v>
      </c>
      <c r="W55" s="35">
        <v>253.27804499999999</v>
      </c>
      <c r="X55" s="35">
        <f>ABS(Table28[[#This Row],[Predicted Loss Cost]]-Table28[[#This Row],[Observed Loss Cost]])</f>
        <v>5.6305099999999868</v>
      </c>
      <c r="Y55" s="24">
        <f>Table28[[#This Row],[Difference]]/Table28[[#This Row],[Observed Loss Cost]]</f>
        <v>2.2735982411454192E-2</v>
      </c>
    </row>
    <row r="56" spans="1:25">
      <c r="A56" t="s">
        <v>120</v>
      </c>
      <c r="B56" s="35">
        <v>672.67864699999996</v>
      </c>
      <c r="C56" s="36">
        <v>78</v>
      </c>
      <c r="D56" s="35">
        <v>80.669302999999999</v>
      </c>
      <c r="E56" s="30">
        <f>Table202224[[#This Row],[Observed Claims]]/Table202224[[#This Row],[Exposure]]</f>
        <v>0.11595432729708753</v>
      </c>
      <c r="F56" s="30">
        <f>Table202224[[#This Row],[Predicted Claims]]/Table202224[[#This Row],[Exposure]]</f>
        <v>0.11992249696012725</v>
      </c>
      <c r="G56" s="24">
        <f>ABS(Table202224[[#This Row],[Predicted Claims]]-Table202224[[#This Row],[Observed Claims]])/Table202224[[#This Row],[Observed Claims]]</f>
        <v>3.4221833333333326E-2</v>
      </c>
      <c r="T56" s="28" t="s">
        <v>108</v>
      </c>
      <c r="U56" s="39">
        <v>9061.0954230000007</v>
      </c>
      <c r="V56" s="35">
        <v>251.90574899999999</v>
      </c>
      <c r="W56" s="35">
        <v>191.27255600000001</v>
      </c>
      <c r="X56" s="35">
        <f>ABS(Table28[[#This Row],[Predicted Loss Cost]]-Table28[[#This Row],[Observed Loss Cost]])</f>
        <v>60.633192999999977</v>
      </c>
      <c r="Y56" s="24">
        <f>Table28[[#This Row],[Difference]]/Table28[[#This Row],[Observed Loss Cost]]</f>
        <v>0.24069793262241101</v>
      </c>
    </row>
    <row r="57" spans="1:25">
      <c r="A57" t="s">
        <v>119</v>
      </c>
      <c r="B57" s="35">
        <v>2262.9916779999999</v>
      </c>
      <c r="C57" s="36">
        <v>195</v>
      </c>
      <c r="D57" s="35">
        <v>195.549847</v>
      </c>
      <c r="E57" s="30">
        <f>Table202224[[#This Row],[Observed Claims]]/Table202224[[#This Row],[Exposure]]</f>
        <v>8.6169119354578563E-2</v>
      </c>
      <c r="F57" s="30">
        <f>Table202224[[#This Row],[Predicted Claims]]/Table202224[[#This Row],[Exposure]]</f>
        <v>8.6412092850833719E-2</v>
      </c>
      <c r="G57" s="24">
        <f>ABS(Table202224[[#This Row],[Predicted Claims]]-Table202224[[#This Row],[Observed Claims]])/Table202224[[#This Row],[Observed Claims]]</f>
        <v>2.819728205128204E-3</v>
      </c>
    </row>
    <row r="58" spans="1:25">
      <c r="A58" t="s">
        <v>113</v>
      </c>
      <c r="B58" s="35">
        <v>7254.0438539999996</v>
      </c>
      <c r="C58" s="36">
        <v>812</v>
      </c>
      <c r="D58" s="35">
        <v>795.88633600000003</v>
      </c>
      <c r="E58" s="30">
        <f>Table202224[[#This Row],[Observed Claims]]/Table202224[[#This Row],[Exposure]]</f>
        <v>0.11193756425283392</v>
      </c>
      <c r="F58" s="30">
        <f>Table202224[[#This Row],[Predicted Claims]]/Table202224[[#This Row],[Exposure]]</f>
        <v>0.10971622890880858</v>
      </c>
      <c r="G58" s="24">
        <f>ABS(Table202224[[#This Row],[Predicted Claims]]-Table202224[[#This Row],[Observed Claims]])/Table202224[[#This Row],[Observed Claims]]</f>
        <v>1.9844413793103415E-2</v>
      </c>
    </row>
    <row r="59" spans="1:25">
      <c r="A59" t="s">
        <v>108</v>
      </c>
      <c r="B59" s="35">
        <v>9061.0954230000007</v>
      </c>
      <c r="C59" s="36">
        <v>972</v>
      </c>
      <c r="D59" s="35">
        <v>995.30897500000003</v>
      </c>
      <c r="E59" s="30">
        <f>Table202224[[#This Row],[Observed Claims]]/Table202224[[#This Row],[Exposure]]</f>
        <v>0.10727179823454332</v>
      </c>
      <c r="F59" s="30">
        <f>Table202224[[#This Row],[Predicted Claims]]/Table202224[[#This Row],[Exposure]]</f>
        <v>0.10984422175640959</v>
      </c>
      <c r="G59" s="24">
        <f>ABS(Table202224[[#This Row],[Predicted Claims]]-Table202224[[#This Row],[Observed Claims]])/Table202224[[#This Row],[Observed Claims]]</f>
        <v>2.3980426954732542E-2</v>
      </c>
    </row>
  </sheetData>
  <mergeCells count="3">
    <mergeCell ref="A1:G2"/>
    <mergeCell ref="Q1:R1"/>
    <mergeCell ref="T1:Y2"/>
  </mergeCells>
  <pageMargins left="0.7" right="0.7" top="0.75" bottom="0.75" header="0.3" footer="0.3"/>
  <drawing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A501-77E7-449C-8CB4-C6C322B22E85}">
  <dimension ref="A1:G14"/>
  <sheetViews>
    <sheetView workbookViewId="0">
      <selection activeCell="G9" sqref="G9"/>
    </sheetView>
  </sheetViews>
  <sheetFormatPr defaultRowHeight="15"/>
  <cols>
    <col min="1" max="1" width="13" bestFit="1" customWidth="1"/>
    <col min="2" max="2" width="18.140625" bestFit="1" customWidth="1"/>
    <col min="3" max="4" width="11.42578125" bestFit="1" customWidth="1"/>
    <col min="5" max="5" width="1.85546875" customWidth="1"/>
    <col min="6" max="6" width="20.42578125" bestFit="1" customWidth="1"/>
    <col min="7" max="7" width="43.42578125" bestFit="1" customWidth="1"/>
  </cols>
  <sheetData>
    <row r="1" spans="1:7">
      <c r="A1" t="s">
        <v>168</v>
      </c>
      <c r="B1" t="s">
        <v>169</v>
      </c>
      <c r="C1" t="s">
        <v>170</v>
      </c>
      <c r="D1" t="s">
        <v>171</v>
      </c>
      <c r="F1" t="s">
        <v>168</v>
      </c>
      <c r="G1" t="s">
        <v>169</v>
      </c>
    </row>
    <row r="2" spans="1:7">
      <c r="A2" t="s">
        <v>172</v>
      </c>
      <c r="B2" t="s">
        <v>173</v>
      </c>
      <c r="C2" t="s">
        <v>174</v>
      </c>
      <c r="D2" t="s">
        <v>7</v>
      </c>
      <c r="F2" t="s">
        <v>175</v>
      </c>
      <c r="G2" t="s">
        <v>176</v>
      </c>
    </row>
    <row r="3" spans="1:7">
      <c r="A3" t="s">
        <v>177</v>
      </c>
      <c r="B3" t="s">
        <v>178</v>
      </c>
      <c r="C3" t="s">
        <v>174</v>
      </c>
      <c r="D3" t="s">
        <v>7</v>
      </c>
      <c r="F3" t="s">
        <v>179</v>
      </c>
      <c r="G3" t="s">
        <v>180</v>
      </c>
    </row>
    <row r="4" spans="1:7">
      <c r="A4" t="s">
        <v>53</v>
      </c>
      <c r="B4" t="s">
        <v>181</v>
      </c>
      <c r="C4" t="s">
        <v>182</v>
      </c>
      <c r="D4" t="s">
        <v>7</v>
      </c>
      <c r="F4" t="s">
        <v>183</v>
      </c>
      <c r="G4" t="s">
        <v>184</v>
      </c>
    </row>
    <row r="5" spans="1:7">
      <c r="A5" t="s">
        <v>185</v>
      </c>
      <c r="B5" t="s">
        <v>77</v>
      </c>
      <c r="C5" t="s">
        <v>182</v>
      </c>
      <c r="D5" t="s">
        <v>7</v>
      </c>
      <c r="F5" t="s">
        <v>186</v>
      </c>
      <c r="G5" t="s">
        <v>187</v>
      </c>
    </row>
    <row r="6" spans="1:7">
      <c r="A6" t="s">
        <v>188</v>
      </c>
      <c r="B6" t="s">
        <v>17</v>
      </c>
      <c r="C6" t="s">
        <v>182</v>
      </c>
      <c r="D6" t="s">
        <v>7</v>
      </c>
      <c r="F6" t="s">
        <v>189</v>
      </c>
      <c r="G6" t="s">
        <v>190</v>
      </c>
    </row>
    <row r="7" spans="1:7">
      <c r="A7" t="s">
        <v>191</v>
      </c>
      <c r="B7" t="s">
        <v>11</v>
      </c>
      <c r="C7" t="s">
        <v>182</v>
      </c>
      <c r="D7" t="s">
        <v>7</v>
      </c>
      <c r="F7" t="s">
        <v>192</v>
      </c>
      <c r="G7" t="s">
        <v>193</v>
      </c>
    </row>
    <row r="8" spans="1:7">
      <c r="A8" t="s">
        <v>194</v>
      </c>
      <c r="B8" t="s">
        <v>195</v>
      </c>
      <c r="C8" t="s">
        <v>182</v>
      </c>
      <c r="D8" t="s">
        <v>7</v>
      </c>
      <c r="F8" t="s">
        <v>196</v>
      </c>
      <c r="G8" t="s">
        <v>197</v>
      </c>
    </row>
    <row r="9" spans="1:7">
      <c r="A9" t="s">
        <v>198</v>
      </c>
      <c r="B9" t="s">
        <v>199</v>
      </c>
      <c r="C9" t="s">
        <v>200</v>
      </c>
      <c r="D9" t="s">
        <v>7</v>
      </c>
    </row>
    <row r="10" spans="1:7">
      <c r="A10" t="s">
        <v>201</v>
      </c>
      <c r="B10" t="s">
        <v>202</v>
      </c>
      <c r="C10" t="s">
        <v>200</v>
      </c>
      <c r="D10" t="s">
        <v>7</v>
      </c>
    </row>
    <row r="11" spans="1:7">
      <c r="A11" t="s">
        <v>15</v>
      </c>
      <c r="B11" t="s">
        <v>203</v>
      </c>
      <c r="C11" t="s">
        <v>200</v>
      </c>
      <c r="D11" t="s">
        <v>7</v>
      </c>
    </row>
    <row r="12" spans="1:7">
      <c r="A12" t="s">
        <v>21</v>
      </c>
      <c r="B12" t="s">
        <v>204</v>
      </c>
      <c r="C12" t="s">
        <v>182</v>
      </c>
      <c r="D12" t="s">
        <v>7</v>
      </c>
    </row>
    <row r="13" spans="1:7">
      <c r="A13" t="s">
        <v>19</v>
      </c>
      <c r="B13" t="s">
        <v>19</v>
      </c>
      <c r="C13" t="s">
        <v>200</v>
      </c>
      <c r="D13" t="s">
        <v>7</v>
      </c>
    </row>
    <row r="14" spans="1:7">
      <c r="A14" t="s">
        <v>205</v>
      </c>
      <c r="B14" t="s">
        <v>206</v>
      </c>
      <c r="C14" t="s">
        <v>182</v>
      </c>
      <c r="D14" t="s">
        <v>207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2026-09-21T04:48:22Z</dcterms:created>
  <dcterms:modified xsi:type="dcterms:W3CDTF">2026-10-02T20:46:35Z</dcterms:modified>
  <cp:category/>
  <cp:contentStatus/>
</cp:coreProperties>
</file>